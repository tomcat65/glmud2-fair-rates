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Ledger" sheetId="1" state="visible" r:id="rId3"/>
    <sheet name="Annual Summary" sheetId="2" state="visible" r:id="rId4"/>
    <sheet name="Rate Model" sheetId="3" state="visible" r:id="rId5"/>
    <sheet name="Scenario Impact" sheetId="4" state="visible" r:id="rId6"/>
    <sheet name="Counter-Proposal S3" sheetId="5" state="visible" r:id="rId7"/>
    <sheet name="COS Extrapolation" sheetId="6" state="visible" r:id="rId8"/>
    <sheet name="Anomalies &amp; Money Owed" sheetId="7" state="visible" r:id="rId9"/>
    <sheet name="Irrigation Evidenc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<sst xmlns="http://schemas.openxmlformats.org/spreadsheetml/2006/main" count="409" uniqueCount="358">
  <si>
    <t xml:space="preserve">Grand Lakes MUD 2 - Account 30402-0600812002 - 3923 Rose Grove Ln, Katy TX</t>
  </si>
  <si>
    <t xml:space="preserve">Every bill transcribed from the scanned images. Blue = read off the bill. Black = calculated by formula.</t>
  </si>
  <si>
    <t xml:space="preserve">Service End</t>
  </si>
  <si>
    <t xml:space="preserve">Year</t>
  </si>
  <si>
    <t xml:space="preserve">Month</t>
  </si>
  <si>
    <t xml:space="preserve">Meter Prev</t>
  </si>
  <si>
    <t xml:space="preserve">Meter Pres</t>
  </si>
  <si>
    <t xml:space="preserve">kGal Used</t>
  </si>
  <si>
    <t xml:space="preserve">Water $</t>
  </si>
  <si>
    <t xml:space="preserve">Sewer $</t>
  </si>
  <si>
    <t xml:space="preserve">NFBWA Rate</t>
  </si>
  <si>
    <t xml:space="preserve">NFBWA $</t>
  </si>
  <si>
    <t xml:space="preserve">SPA Credit $</t>
  </si>
  <si>
    <t xml:space="preserve">Other $</t>
  </si>
  <si>
    <t xml:space="preserve">Bill Total $</t>
  </si>
  <si>
    <t xml:space="preserve">Check: Sum</t>
  </si>
  <si>
    <t xml:space="preserve">Delta</t>
  </si>
  <si>
    <t xml:space="preserve">$ per kGal</t>
  </si>
  <si>
    <t xml:space="preserve">Fixed $</t>
  </si>
  <si>
    <t xml:space="preserve">Variable $</t>
  </si>
  <si>
    <t xml:space="preserve">2021-08-13</t>
  </si>
  <si>
    <t xml:space="preserve">2021-09-13</t>
  </si>
  <si>
    <t xml:space="preserve">2021-10-13</t>
  </si>
  <si>
    <t xml:space="preserve">2021-11-13</t>
  </si>
  <si>
    <t xml:space="preserve">2021-12-13</t>
  </si>
  <si>
    <t xml:space="preserve">2022-01-13</t>
  </si>
  <si>
    <t xml:space="preserve">2022-02-13</t>
  </si>
  <si>
    <t xml:space="preserve">2022-03-13</t>
  </si>
  <si>
    <t xml:space="preserve">2022-04-13</t>
  </si>
  <si>
    <t xml:space="preserve">2022-05-13</t>
  </si>
  <si>
    <t xml:space="preserve">2022-06-13</t>
  </si>
  <si>
    <t xml:space="preserve">2022-07-13</t>
  </si>
  <si>
    <t xml:space="preserve">2022-08-13</t>
  </si>
  <si>
    <t xml:space="preserve">2022-09-13</t>
  </si>
  <si>
    <t xml:space="preserve">2022-10-13</t>
  </si>
  <si>
    <t xml:space="preserve">2022-11-13</t>
  </si>
  <si>
    <t xml:space="preserve">2022-12-13</t>
  </si>
  <si>
    <t xml:space="preserve">2023-01-13</t>
  </si>
  <si>
    <t xml:space="preserve">2023-02-13</t>
  </si>
  <si>
    <t xml:space="preserve">2023-03-13</t>
  </si>
  <si>
    <t xml:space="preserve">2023-04-13</t>
  </si>
  <si>
    <t xml:space="preserve">2023-05-13</t>
  </si>
  <si>
    <t xml:space="preserve">2023-06-13</t>
  </si>
  <si>
    <t xml:space="preserve">2023-07-13</t>
  </si>
  <si>
    <t xml:space="preserve">2023-08-13</t>
  </si>
  <si>
    <t xml:space="preserve">2023-09-13</t>
  </si>
  <si>
    <t xml:space="preserve">2023-10-13</t>
  </si>
  <si>
    <t xml:space="preserve">2023-11-13</t>
  </si>
  <si>
    <t xml:space="preserve">2023-12-13</t>
  </si>
  <si>
    <t xml:space="preserve">2024-01-13</t>
  </si>
  <si>
    <t xml:space="preserve">2024-02-13</t>
  </si>
  <si>
    <t xml:space="preserve">2024-03-13</t>
  </si>
  <si>
    <t xml:space="preserve">2024-04-13</t>
  </si>
  <si>
    <t xml:space="preserve">2024-05-13</t>
  </si>
  <si>
    <t xml:space="preserve">2024-06-13</t>
  </si>
  <si>
    <t xml:space="preserve">2024-07-13</t>
  </si>
  <si>
    <t xml:space="preserve">2024-08-13</t>
  </si>
  <si>
    <t xml:space="preserve">2024-09-13</t>
  </si>
  <si>
    <t xml:space="preserve">2024-10-13</t>
  </si>
  <si>
    <t xml:space="preserve">2024-11-13</t>
  </si>
  <si>
    <t xml:space="preserve">2024-12-13</t>
  </si>
  <si>
    <t xml:space="preserve">2025-01-13</t>
  </si>
  <si>
    <t xml:space="preserve">2025-02-13</t>
  </si>
  <si>
    <t xml:space="preserve">2025-03-13</t>
  </si>
  <si>
    <t xml:space="preserve">2025-04-13</t>
  </si>
  <si>
    <t xml:space="preserve">2025-05-13</t>
  </si>
  <si>
    <t xml:space="preserve">2025-06-13</t>
  </si>
  <si>
    <t xml:space="preserve">2025-07-13</t>
  </si>
  <si>
    <t xml:space="preserve">2025-08-13</t>
  </si>
  <si>
    <t xml:space="preserve">2025-09-13</t>
  </si>
  <si>
    <t xml:space="preserve">2025-10-13</t>
  </si>
  <si>
    <t xml:space="preserve">2025-11-13</t>
  </si>
  <si>
    <t xml:space="preserve">2025-12-13</t>
  </si>
  <si>
    <t xml:space="preserve">2026-01-13</t>
  </si>
  <si>
    <t xml:space="preserve">2026-02-13</t>
  </si>
  <si>
    <t xml:space="preserve">2026-03-13</t>
  </si>
  <si>
    <t xml:space="preserve">2026-04-13</t>
  </si>
  <si>
    <t xml:space="preserve">2026-05-13</t>
  </si>
  <si>
    <t xml:space="preserve">2026-06-13</t>
  </si>
  <si>
    <t xml:space="preserve">2026-07-13</t>
  </si>
  <si>
    <t xml:space="preserve">TOTAL</t>
  </si>
  <si>
    <t xml:space="preserve">NOTE: 2024-06-13 row is RECONSTRUCTED. That bill is missing from the scans. Meter reads on the adjacent bills (1055 -&gt; 1064) prove 9,000 gallons,</t>
  </si>
  <si>
    <t xml:space="preserve">and the July 2024 balance-forward of $187.11 reconciles exactly as $89.10 (May, unpaid) + $89.10 (June) + $8.91 penalty. Request the original from MDS.</t>
  </si>
  <si>
    <t xml:space="preserve">"Delta" column must be $0.00 on every row. It is. All 60 bills are internally consistent - the district made no arithmetic errors.</t>
  </si>
  <si>
    <t xml:space="preserve">"Fixed $" = charges you pay regardless of a drop of water (sewer, plus the $25 water minimum from Feb 2024). "Variable $" = everything driven by gallons.</t>
  </si>
  <si>
    <t xml:space="preserve">The blue bars in "kGal Used" and the red bars in "Bill Total" are conditional data bars - scroll down the column and the 2026 breakout is visible without a chart.</t>
  </si>
  <si>
    <t xml:space="preserve">Annual Summary</t>
  </si>
  <si>
    <t xml:space="preserve">Bills</t>
  </si>
  <si>
    <t xml:space="preserve">Total Paid</t>
  </si>
  <si>
    <t xml:space="preserve">$ / kGal</t>
  </si>
  <si>
    <t xml:space="preserve">vs Prior Yr Gallons</t>
  </si>
  <si>
    <t xml:space="preserve">vs Prior Yr Cost</t>
  </si>
  <si>
    <t xml:space="preserve">Min Month kGal</t>
  </si>
  <si>
    <t xml:space="preserve">Median kGal</t>
  </si>
  <si>
    <t xml:space="preserve">Max Month kGal</t>
  </si>
  <si>
    <t xml:space="preserve">2021 = 5 bills (service started Aug 2021, includes $150 deposit + $30 transfer fee).  2026 = 7 bills (Jan-Jul, year in progress).</t>
  </si>
  <si>
    <t xml:space="preserve">Apples-to-apples: January through July only</t>
  </si>
  <si>
    <t xml:space="preserve">kGal Jan-Jul</t>
  </si>
  <si>
    <t xml:space="preserve">Paid Jan-Jul</t>
  </si>
  <si>
    <t xml:space="preserve">Gallons vs 2025</t>
  </si>
  <si>
    <t xml:space="preserve">Cost vs 2025</t>
  </si>
  <si>
    <t xml:space="preserve">Rates were IDENTICAL in 2025 and 2026 (water $25 min / $1 / $2 tiers, sewer $20, NFBWA $4.90). So 100% of the 2026 increase is volume, not price.</t>
  </si>
  <si>
    <t xml:space="preserve">Winter usage (Jan+Feb+Mar) - the leak test</t>
  </si>
  <si>
    <t xml:space="preserve">Winter is indoor-only: no irrigation, no pool top-off, no car washing. It is the cleanest read on baseline household demand.</t>
  </si>
  <si>
    <t xml:space="preserve">Jan kGal</t>
  </si>
  <si>
    <t xml:space="preserve">Feb kGal</t>
  </si>
  <si>
    <t xml:space="preserve">Mar kGal</t>
  </si>
  <si>
    <t xml:space="preserve">Winter Total</t>
  </si>
  <si>
    <t xml:space="preserve">vs 4-Yr Avg</t>
  </si>
  <si>
    <t xml:space="preserve">2026 winter usage is 2.6x the 2022-2025 winter average. Nothing about a household changes in January. This is the single strongest piece of evidence.</t>
  </si>
  <si>
    <t xml:space="preserve">Reverse-Engineered Rate Schedule</t>
  </si>
  <si>
    <t xml:space="preserve">Derived by solving the printed line items against printed gallons across all 60 bills. The model reproduces every WATER charge to the cent, 60 of 60.</t>
  </si>
  <si>
    <t xml:space="preserve">Component</t>
  </si>
  <si>
    <t xml:space="preserve">Tier / Period</t>
  </si>
  <si>
    <t xml:space="preserve">Rate</t>
  </si>
  <si>
    <t xml:space="preserve">Note</t>
  </si>
  <si>
    <t xml:space="preserve">ERA 1: Aug 2021 - Jan 2024</t>
  </si>
  <si>
    <t xml:space="preserve">Water</t>
  </si>
  <si>
    <t xml:space="preserve">first 20,000 gal</t>
  </si>
  <si>
    <t xml:space="preserve">$0.50 per 1,000 gal</t>
  </si>
  <si>
    <t xml:space="preserve">no minimum charge</t>
  </si>
  <si>
    <t xml:space="preserve">above 20,000 gal</t>
  </si>
  <si>
    <t xml:space="preserve">$1.50 per 1,000 gal</t>
  </si>
  <si>
    <t xml:space="preserve">observed once, Aug 2023 (21 kGal = $11.50)</t>
  </si>
  <si>
    <t xml:space="preserve">Sewer</t>
  </si>
  <si>
    <t xml:space="preserve">flat</t>
  </si>
  <si>
    <t xml:space="preserve">$10.00 per month</t>
  </si>
  <si>
    <t xml:space="preserve">does not vary with usage</t>
  </si>
  <si>
    <t xml:space="preserve">NFBWA</t>
  </si>
  <si>
    <t xml:space="preserve">pass-through</t>
  </si>
  <si>
    <t xml:space="preserve">$4.50 -&gt; $4.80 (Feb 2022) -&gt; $4.90 (Jul 2022)</t>
  </si>
  <si>
    <t xml:space="preserve">North Fort Bend Water Authority, purely volumetric</t>
  </si>
  <si>
    <t xml:space="preserve">SPA Credit</t>
  </si>
  <si>
    <t xml:space="preserve">Feb 2022 - Jan 2024</t>
  </si>
  <si>
    <t xml:space="preserve">-$2.00 per 1,000 gal</t>
  </si>
  <si>
    <t xml:space="preserve">district subsidy funded by the City of Houston agreement</t>
  </si>
  <si>
    <t xml:space="preserve">ERA 2: Feb 2024 - present</t>
  </si>
  <si>
    <t xml:space="preserve">first 10,000 gal</t>
  </si>
  <si>
    <t xml:space="preserve">$25.00 minimum</t>
  </si>
  <si>
    <t xml:space="preserve">you pay $25 even at zero gallons</t>
  </si>
  <si>
    <t xml:space="preserve">10,000 - 20,000 gal</t>
  </si>
  <si>
    <t xml:space="preserve">$1.00 per 1,000 gal</t>
  </si>
  <si>
    <t xml:space="preserve">$2.00 per 1,000 gal</t>
  </si>
  <si>
    <t xml:space="preserve">first observed Apr 2026</t>
  </si>
  <si>
    <t xml:space="preserve">$20.00 per month</t>
  </si>
  <si>
    <t xml:space="preserve">doubled</t>
  </si>
  <si>
    <t xml:space="preserve">$4.90 per 1,000 gal</t>
  </si>
  <si>
    <t xml:space="preserve">unchanged since Jul 2022 - four years</t>
  </si>
  <si>
    <t xml:space="preserve">removed</t>
  </si>
  <si>
    <t xml:space="preserve">$0.00</t>
  </si>
  <si>
    <t xml:space="preserve">eliminated Feb 2024</t>
  </si>
  <si>
    <t xml:space="preserve">Penalty</t>
  </si>
  <si>
    <t xml:space="preserve">late</t>
  </si>
  <si>
    <t xml:space="preserve">10% of the entire balance</t>
  </si>
  <si>
    <t xml:space="preserve">applied to the NFBWA pass-through too</t>
  </si>
  <si>
    <t xml:space="preserve">Delinquent Letter</t>
  </si>
  <si>
    <t xml:space="preserve">per occurrence</t>
  </si>
  <si>
    <t xml:space="preserve">$10.00</t>
  </si>
  <si>
    <t xml:space="preserve">charged Jul 2024 and Mar 2025</t>
  </si>
  <si>
    <t xml:space="preserve">What the same month costs before and after the Feb 2024 restructure</t>
  </si>
  <si>
    <t xml:space="preserve">Monthly Usage (kGal)</t>
  </si>
  <si>
    <t xml:space="preserve">Era 1 Bill (2023 rates)</t>
  </si>
  <si>
    <t xml:space="preserve">Era 2 Bill (2024+ rates)</t>
  </si>
  <si>
    <t xml:space="preserve">Increase $</t>
  </si>
  <si>
    <t xml:space="preserve">Increase %</t>
  </si>
  <si>
    <t xml:space="preserve">The district's Feb 2024 letter said it would "increase water and sewer rates slightly." For a typical 8,000-gallon month the bill rose 126%.</t>
  </si>
  <si>
    <t xml:space="preserve">The fixed monthly floor - what you owe before using a single drop - went from $10.00 to $45.00. That is +350%, and it falls hardest on low-usage months.</t>
  </si>
  <si>
    <t xml:space="preserve">Proposed Rate Scenarios - Impact on This Household</t>
  </si>
  <si>
    <t xml:space="preserve">Source: EVO 10-Year Financial Operating Strategy handouts, GLMUD2 special meeting Aug 3, 2026. All totals INCLUDE the $4.90/1,000 NFBWA fee (the handout tables exclude it). Scenario 2 includes the $100/month Capital Project Base Fee.</t>
  </si>
  <si>
    <t xml:space="preserve">Current Total</t>
  </si>
  <si>
    <t xml:space="preserve">Scenario 1 Total</t>
  </si>
  <si>
    <t xml:space="preserve">Scenario 2 Total</t>
  </si>
  <si>
    <t xml:space="preserve">S1 vs Current</t>
  </si>
  <si>
    <t xml:space="preserve">S2 vs Current</t>
  </si>
  <si>
    <t xml:space="preserve">Neighbor at 3918 / your own low months</t>
  </si>
  <si>
    <t xml:space="preserve">Your 2021-2025 typical month</t>
  </si>
  <si>
    <t xml:space="preserve">Normal usage + daughter</t>
  </si>
  <si>
    <t xml:space="preserve">Your July 2026 (irrigation overuse)</t>
  </si>
  <si>
    <t xml:space="preserve">Rate definitions (from handout pages 4 &amp; 6): S1 water $30 base incl 5k, tiers $1.50/$2/$2.50/$3/$3.50/$4/$4.50, &gt;50k $5 (40-50k not printed; $4.50 assumed). S1 sewer flat by usage: $55 to 20k, $60 to 30k, $65 to 40k, $70 to 50k, $75 above.</t>
  </si>
  <si>
    <t xml:space="preserve">S2 water $30 base incl 2k, tiers $3/$4/$4.50/$5.50/$6.50, &gt;27k $7.50. S2 sewer $55 base incl 5k + $1.50/$2/$2.50/$3/$3.50 volumetric tiers + $100/mo Capital Project Base Fee per connection.</t>
  </si>
  <si>
    <t xml:space="preserve">DISTRICT CONTEXT (handout p.2, current usage distribution across 679 residential meters):</t>
  </si>
  <si>
    <t xml:space="preserve">Bracket</t>
  </si>
  <si>
    <t xml:space="preserve"># Meters</t>
  </si>
  <si>
    <t xml:space="preserve">% of District</t>
  </si>
  <si>
    <t xml:space="preserve">&lt;6k</t>
  </si>
  <si>
    <t xml:space="preserve">6k-10k</t>
  </si>
  <si>
    <t xml:space="preserve">10k-15k</t>
  </si>
  <si>
    <t xml:space="preserve">15k-20k</t>
  </si>
  <si>
    <t xml:space="preserve">20k-25k</t>
  </si>
  <si>
    <t xml:space="preserve">25k-30k</t>
  </si>
  <si>
    <t xml:space="preserve">30k-40k</t>
  </si>
  <si>
    <t xml:space="preserve">40k-50k</t>
  </si>
  <si>
    <t xml:space="preserve">&gt;50k</t>
  </si>
  <si>
    <t xml:space="preserve">27% of homes use &lt;10k/month (bills ~$60-79 all-in today) - the $80 neighbor at 3918 is one of 180 such homes, using ~7k gal. Your July 2026 (24k) is in roughly the top 15% of meters. Your pre-2026 median (~9-10k) was typical.</t>
  </si>
  <si>
    <t xml:space="preserve">FY27 proposed budget W+WW revenue = $950,922 = EXACTLY Scenario 1 projected service revenue -&gt; board leaning Scenario 1 now, second-phase increase 2028, $100 fee held in reserve. FY27 budget also carries $150,000 for PUC Appeal - district expects a challenge.</t>
  </si>
  <si>
    <t xml:space="preserve">Commercial correction (both scenarios): Walgreens total today $10/mo -&gt; ~$180-195; car wash $418 -&gt; ~$1,097-1,800. Cost shifting: constable patrol (~$308k), streetlights (~$142k), reclaimed irrigation move to HOA - expect HOA dues to rise.</t>
  </si>
  <si>
    <t xml:space="preserve">Counter-Proposal "Scenario 3" - Same Revenue as S1, Fairer Distribution</t>
  </si>
  <si>
    <t xml:space="preserve">Calibrated on the district's own 679-meter usage distribution to produce the same total service revenue as EVO Scenario 1. Blue cells are the proposed rate levers - change them and everything recomputes.</t>
  </si>
  <si>
    <t xml:space="preserve">S3 RATE LEVERS</t>
  </si>
  <si>
    <t xml:space="preserve">REVENUE CHECK (bracket midpoints x meter counts, annualized)</t>
  </si>
  <si>
    <t xml:space="preserve">Water base (incl 3k gal)</t>
  </si>
  <si>
    <t xml:space="preserve">Midpoint kGal</t>
  </si>
  <si>
    <t xml:space="preserve">Meters</t>
  </si>
  <si>
    <t xml:space="preserve">Current $/mo</t>
  </si>
  <si>
    <t xml:space="preserve">S1 $/mo</t>
  </si>
  <si>
    <t xml:space="preserve">S3 $/mo</t>
  </si>
  <si>
    <t xml:space="preserve">Water 3-10k $/kGal</t>
  </si>
  <si>
    <t xml:space="preserve">Water 10-15k</t>
  </si>
  <si>
    <t xml:space="preserve">Water 15-20k</t>
  </si>
  <si>
    <t xml:space="preserve">Water 20-30k</t>
  </si>
  <si>
    <t xml:space="preserve">Water &gt;30k</t>
  </si>
  <si>
    <t xml:space="preserve">Sewer base</t>
  </si>
  <si>
    <t xml:space="preserve">Sewer $/kGal on 3-15k band</t>
  </si>
  <si>
    <t xml:space="preserve">Sewer volumetric cap</t>
  </si>
  <si>
    <t xml:space="preserve">M&amp;O tax increase ($/100 valuation)</t>
  </si>
  <si>
    <t xml:space="preserve">Commercial uplift vs S1</t>
  </si>
  <si>
    <t xml:space="preserve">Residential annual</t>
  </si>
  <si>
    <t xml:space="preserve">Commercial annual (9 accounts, handout p.2/4)</t>
  </si>
  <si>
    <t xml:space="preserve">Tax component (+rate x $466,651,883 x 98%)</t>
  </si>
  <si>
    <t xml:space="preserve">&lt;- S3 minus S1: target $0</t>
  </si>
  <si>
    <t xml:space="preserve">HOUSEHOLD IMPACT (water+sewer only; NFBWA $4.90/kGal identical in every scenario; S3 tax ~$28/mo avg homestead shown separately)</t>
  </si>
  <si>
    <t xml:space="preserve">Usage kGal</t>
  </si>
  <si>
    <t xml:space="preserve">Current</t>
  </si>
  <si>
    <t xml:space="preserve">S1</t>
  </si>
  <si>
    <t xml:space="preserve">S3</t>
  </si>
  <si>
    <t xml:space="preserve">S1 vs Cur</t>
  </si>
  <si>
    <t xml:space="preserve">S3 vs Cur</t>
  </si>
  <si>
    <t xml:space="preserve">Who this is</t>
  </si>
  <si>
    <t xml:space="preserve">true low user (38 homes)</t>
  </si>
  <si>
    <t xml:space="preserve">neighbor at 3918 / your low months</t>
  </si>
  <si>
    <t xml:space="preserve">your normal month</t>
  </si>
  <si>
    <t xml:space="preserve">district median</t>
  </si>
  <si>
    <t xml:space="preserve">your July 2026 (irrigation overuse)</t>
  </si>
  <si>
    <t xml:space="preserve">heavy user - pays MORE than under S1</t>
  </si>
  <si>
    <t xml:space="preserve">THE ARGUMENT: same total revenue as Scenario 1, redistributed. Low users (27% of district) get +5-19% instead of +89-96%. Heavy users (top 3%) pay MORE than S1. Marginal price above 20k = $6-8 + $4.90 NFBWA = $10.90-12.90/kGal - a real conservation signal (S1: ~$8).</t>
  </si>
  <si>
    <t xml:space="preserve">PUSHBACK ON EVO: (1) No scenario models the tax lever - each +$0.01/100 raises ~$45.7k/yr on the $466.7M base; freezing $0.128 is a distributional CHOICE, not arithmetic. (2) Sewer $55 "designed to cover Garbage &amp; Recycling" (their p.4) - a garbage bill hidden in a sewer line. (3) S2's $100/connection fee is a poll tax: car wash and widow pay the same. (4) Legal fees ran 196% of budget; $150k pre-budgeted to fight ratepayers at the PUC; $187k Jason's Deli reimbursement in capital outlay. (5) "Eliminated" constable/streetlight/irrigation costs shift to the HOA - total household cost is bill + dues.</t>
  </si>
  <si>
    <t xml:space="preserve">HONEST WEAKNESSES OF S3: (a) O&amp;M tax cap set by voter authorization at district creation - VERIFY headroom before proposing (one TPIA line); if capped, the tax slice moves back onto middle tiers. (b) Steep-tier revenue is elastic - if heavy users conserve, revenue undershoots; partial offset: each conserved kGal saves the district $4.90 NFBWA + GL4 purchase costs; an S3 rate order needs an annual true-up clause. (c) Renters reach the tax only via landlords. (d) Tax deductibility helps itemizers only.</t>
  </si>
  <si>
    <t xml:space="preserve">S1 40-50k water tier not printed in handout; $4.50 assumed. Commercial modeled as the 9 accounts on handout p.2; uplift lever in B15 (+25% default - EVO itself admits S1 commercial is below Houston/Fulshear parity).</t>
  </si>
  <si>
    <t xml:space="preserve">Cost-of-Service Extrapolation from the FY2027 Proposed Budget</t>
  </si>
  <si>
    <t xml:space="preserve">EVO produced a financial plan, not a COS study. This sheet functionalizes the district budget into water / sewer / garbage direct costs and prices a COS-pure bill. Blue cells are inputs/levers.</t>
  </si>
  <si>
    <t xml:space="preserve">1. REVENUE REQUIREMENT CLOSURE (FY27 proposed budget)</t>
  </si>
  <si>
    <t xml:space="preserve">Total operating expenditures</t>
  </si>
  <si>
    <t xml:space="preserve">Total capital outlay</t>
  </si>
  <si>
    <t xml:space="preserve">less: Maintenance tax collections</t>
  </si>
  <si>
    <t xml:space="preserve">less: Sales tax revenue</t>
  </si>
  <si>
    <t xml:space="preserve">less: Interest income</t>
  </si>
  <si>
    <t xml:space="preserve">less: NFBWA pass-through revenue</t>
  </si>
  <si>
    <t xml:space="preserve">less: Grease/transfer/penalty/misc revenues</t>
  </si>
  <si>
    <t xml:space="preserve">less: Transfer from SPA reserves</t>
  </si>
  <si>
    <t xml:space="preserve">Required from service rates (sum of the above)</t>
  </si>
  <si>
    <t xml:space="preserve">EVO S1 target: $950,922 - closes to within $1</t>
  </si>
  <si>
    <t xml:space="preserve">2. DIRECT COSTS BY FUNCTION (FY27 budget lines)</t>
  </si>
  <si>
    <t xml:space="preserve">Function</t>
  </si>
  <si>
    <t xml:space="preserve">Line items included</t>
  </si>
  <si>
    <t xml:space="preserve">Annual $</t>
  </si>
  <si>
    <t xml:space="preserve">Billing 3,700 + Operations 31,300 + M&amp;R 78,500 + Lab 9,900 + Transfer 1,800 + Permits 1,800 + TCEQ 2,377 + Purchased water GL4 129,600 + Smart meters 8,800 + Irrigation evals 400</t>
  </si>
  <si>
    <t xml:space="preserve">Billing 3,700 + Operations 8,100 + Grease insp 8,600 + M&amp;R 109,200 + Mowing 3,200 + Lift station 5,500 + Phone 3,600 + TCEQ 2,377 + Purchased sewer GL4 246,919</t>
  </si>
  <si>
    <t xml:space="preserve">Garbage &amp; recycling</t>
  </si>
  <si>
    <t xml:space="preserve">Garbage expense</t>
  </si>
  <si>
    <t xml:space="preserve">Sum of direct costs</t>
  </si>
  <si>
    <t xml:space="preserve">of the rate target -&gt; rates recover W+S+garbage at ~cost; admin/security/streetlights/capital/RWDS ride on taxes+interest+SPA drawdown</t>
  </si>
  <si>
    <t xml:space="preserve">3. SYSTEM UNITS &amp; ALLOCATION LEVERS</t>
  </si>
  <si>
    <t xml:space="preserve">System water sold, kGal/yr (679 res @ bracket model + 9 comm accts)</t>
  </si>
  <si>
    <t xml:space="preserve">Total connections (679 residential + 9 commercial)</t>
  </si>
  <si>
    <t xml:space="preserve">Sewer allocation weight: 0 = all per-connection, 1 = all per-flow</t>
  </si>
  <si>
    <t xml:space="preserve">Water direct cost, $/kGal</t>
  </si>
  <si>
    <t xml:space="preserve">Sewer: per-connection $/mo  |  per-flow $/kGal</t>
  </si>
  <si>
    <t xml:space="preserve">Garbage, $/connection/mo</t>
  </si>
  <si>
    <t xml:space="preserve">True marginal cost of water = water direct + NFBWA $4.90</t>
  </si>
  <si>
    <t xml:space="preserve">per 1,000 gal - compare S1 tier prices of $1.00-$3.00: marginal water priced BELOW cost, recovered in fixed charges instead</t>
  </si>
  <si>
    <t xml:space="preserve">4. COS-PURE MONTHLY BILL vs EVO S1 (water+sewer+garbage, excl NFBWA which is identical everywhere)</t>
  </si>
  <si>
    <t xml:space="preserve">COS-pure bill</t>
  </si>
  <si>
    <t xml:space="preserve">S1 bill</t>
  </si>
  <si>
    <t xml:space="preserve">COS vs S1</t>
  </si>
  <si>
    <t xml:space="preserve">neighbor at 3918</t>
  </si>
  <si>
    <t xml:space="preserve">your July 2026</t>
  </si>
  <si>
    <t xml:space="preserve">READ: with the allocation weight at 0.5 (half connection-based, half flow-based sewer), a COS-pure bill tracks S1 closely for mid users but charges low users materially less and heavy users more. Set the weight to 0 and S1 looks generous to heavy users; set it to 1 and S1 overcharges every low user. THE ALLOCATION CHOICE IS THE WHOLE RATE DEBATE, and EVO never made it openly.</t>
  </si>
  <si>
    <t xml:space="preserve">THE THREE COS-GROUNDED ASKS: (1) commission a real AWWA M1 cost-of-service study with class demand data before adopting any rate order; (2) adopt winter-averaged volumetric sewer (bill sewer on Dec-Feb usage - the industry-standard compromise); (3) put garbage (~$37/connection/mo, a third of the proposed $55 "sewer" charge) on its own labeled bill line.</t>
  </si>
  <si>
    <t xml:space="preserve">CAVEATS: direct-cost split leaves admin/bookkeeping/engineering in the tax-funded bucket; shifting a share into W/S raises the "at cost" figure ~10-20%. RWDS reclaimed-water costs ($420k: NFBWA RWDS $232,206 + GL4 RWDS $187,972) excluded - arguably an irrigation subsidy benefiting heavy irrigators. System kGal/yr estimated from the bracket model; a real COS would use actual production and billing records.</t>
  </si>
  <si>
    <t xml:space="preserve">Anomalies, Fees and Money Potentially Recoverable</t>
  </si>
  <si>
    <t xml:space="preserve">#</t>
  </si>
  <si>
    <t xml:space="preserve">Date</t>
  </si>
  <si>
    <t xml:space="preserve">Finding</t>
  </si>
  <si>
    <t xml:space="preserve">Amount $</t>
  </si>
  <si>
    <t xml:space="preserve">Severity</t>
  </si>
  <si>
    <t xml:space="preserve">How to prove it / what to ask for</t>
  </si>
  <si>
    <t xml:space="preserve">2021-08</t>
  </si>
  <si>
    <t xml:space="preserve">$150.00 DEPOSIT paid at account opening. It appears on the first bill and never again - no refund, no credit, no application to a balance in the 59 bills since.</t>
  </si>
  <si>
    <t xml:space="preserve">HIGH</t>
  </si>
  <si>
    <t xml:space="preserve">RESEARCHED - Rate Order Sec. 3.01: deposit is held until FINAL termination of service, then credited against any balance and the remainder refunded within 60 days, no interest. No early-refund clause. Action: get written confirmation from MDS that the $150 is recorded on the account so it is not lost at move-out.</t>
  </si>
  <si>
    <t xml:space="preserve">$30.00 TRANSFER FEE on the opening bill.</t>
  </si>
  <si>
    <t xml:space="preserve">LOW</t>
  </si>
  <si>
    <t xml:space="preserve">One-time, legitimate. Listed for completeness.</t>
  </si>
  <si>
    <t xml:space="preserve">2021-12</t>
  </si>
  <si>
    <t xml:space="preserve">$7.50 late penalty charged, then REVERSED the next month as "FEE REMOVED -7.50".</t>
  </si>
  <si>
    <t xml:space="preserve">PRECEDENT</t>
  </si>
  <si>
    <t xml:space="preserve">This is the most useful line in the whole file. The district has already demonstrated it will reverse a penalty on this account. Cite it when asking for the others back.</t>
  </si>
  <si>
    <t xml:space="preserve">2023-03</t>
  </si>
  <si>
    <t xml:space="preserve">$1.68 late penalty. Auto-pay did not capture the Feb 2023 bill.</t>
  </si>
  <si>
    <t xml:space="preserve">MED</t>
  </si>
  <si>
    <t xml:space="preserve">Bill shows BALANCE FORWARD 18.48 = 16.80 + 1.68. No PAYMENT line that cycle.</t>
  </si>
  <si>
    <t xml:space="preserve">2024-06</t>
  </si>
  <si>
    <t xml:space="preserve">$8.91 late penalty. Auto-pay failed on the May 2024 bill.</t>
  </si>
  <si>
    <t xml:space="preserve">Reconstructed from the Jul 2024 balance-forward of $187.11 = 89.10 + 89.10 + 8.91.</t>
  </si>
  <si>
    <t xml:space="preserve">2024-07</t>
  </si>
  <si>
    <t xml:space="preserve">$10.00 DELINQUENT LTR fee - a charge for mailing a letter about a payment the auto-pay was supposed to make.</t>
  </si>
  <si>
    <t xml:space="preserve">Rate Order Sec. 4.01 authorizes $10 per written delinquency notice, so it was not a billing error. Request goodwill reversal citing the Dec-2021 FEE REMOVED precedent.</t>
  </si>
  <si>
    <t xml:space="preserve">2025-02</t>
  </si>
  <si>
    <t xml:space="preserve">$7.93 late penalty. Auto-pay failed on the Jan 2025 bill.</t>
  </si>
  <si>
    <t xml:space="preserve">Feb 2025 bill shows BALANCE FORWARD 87.23 = 79.30 + 7.93, and no PAYMENT line.</t>
  </si>
  <si>
    <t xml:space="preserve">2025-03</t>
  </si>
  <si>
    <t xml:space="preserve">$10.00 DELINQUENT LTR fee.</t>
  </si>
  <si>
    <t xml:space="preserve">Second occurrence. Same argument.</t>
  </si>
  <si>
    <t xml:space="preserve">2025-06</t>
  </si>
  <si>
    <t xml:space="preserve">$9.40 late penalty. Auto-pay failed on the May 2025 bill.</t>
  </si>
  <si>
    <t xml:space="preserve">Jun 2025 bill shows BALANCE FORWARD 103.40 = 94.00 + 9.40.</t>
  </si>
  <si>
    <t xml:space="preserve">2026-07</t>
  </si>
  <si>
    <t xml:space="preserve">CLUE + CAUTION. The Jul 2026 bill prints: "Your credit Card Account will be expired next month. Please call in your new card Don't pay this bill." Mundane reading: auto-pay card expiring, draft will handle the bill. Cautious reading: "call in your card" is classic utility-scam wording. Note the auto-pay failure gaps (15/8/4 months) do NOT match a card-expiry cycle.</t>
  </si>
  <si>
    <t xml:space="preserve">ACTION</t>
  </si>
  <si>
    <t xml:space="preserve">Do NOT act on the message as printed. Re-read the physical bill, then verify and update the card ONLY via the number on your older bills (281-290-6500) or by logging into mdswater.com directly. Set a calendar reminder for every card expiry.</t>
  </si>
  <si>
    <t xml:space="preserve">The June 2024 bill is MISSING from your records entirely.</t>
  </si>
  <si>
    <t xml:space="preserve">Meter reads bracket it (1055 -&gt; 1064 = 9,000 gal) and the balance chain reconciles, so nothing is hidden - but request a duplicate from MDS for a complete file.</t>
  </si>
  <si>
    <t xml:space="preserve">2023-08</t>
  </si>
  <si>
    <t xml:space="preserve">WATER charged $11.50 on 21,000 gallons where the $0.50/1,000 rate implies $10.50. Reveals an unpublished tier above 20,000 gallons.</t>
  </si>
  <si>
    <t xml:space="preserve">Immaterial in dollars, but ask for the adopted rate order. You should not have to solve algebra to learn your own tier schedule.</t>
  </si>
  <si>
    <t xml:space="preserve">2026-01</t>
  </si>
  <si>
    <t xml:space="preserve">IRRIGATION OVERUSE (originally flagged as leak signature), onset mid-Dec 2025. Confirmed Aug 2026 via EyeOnWater: spikes on the Mon/Wed/Fri sprinkler schedule, no continuous flow. Winter shutdown skipped + per-run volume growing (~3,000+ gal/run, ~3x agronomic need, +45% WoW in Aug).</t>
  </si>
  <si>
    <t xml:space="preserve">CRITICAL</t>
  </si>
  <si>
    <t xml:space="preserve">$426.70 excess Jan-Jul 2026 vs same months 2025 at identical rates; Aug pace implies a ~$350 bill if unchanged. Fix: reprogram controller (check stacked programs, run minutes, seasonal adjust; off Nov-Feb), inspect zones for a break, book free NFBWA W.I.S.E. Guys evaluation. If a physical fault is found, request discretionary Board relief with repair receipt.</t>
  </si>
  <si>
    <t xml:space="preserve">Recoverable: late fees + delinquent letter fees</t>
  </si>
  <si>
    <t xml:space="preserve">Recoverable: unrefunded deposit</t>
  </si>
  <si>
    <t xml:space="preserve">Excess billing from the 2026 leak, Jan-Jul</t>
  </si>
  <si>
    <t xml:space="preserve">TOTAL AT STAKE</t>
  </si>
  <si>
    <t xml:space="preserve">Statistical Case: Irrigation Overuse Starting Mid-December 2025 (confirmed via EyeOnWater smart-meter data, Aug 2026)</t>
  </si>
  <si>
    <t xml:space="preserve">Test 1: Is 2026 usage an outlier against the 2021-2025 record?</t>
  </si>
  <si>
    <t xml:space="preserve">kGal</t>
  </si>
  <si>
    <t xml:space="preserve">Baseline Mean</t>
  </si>
  <si>
    <t xml:space="preserve">Baseline SD</t>
  </si>
  <si>
    <t xml:space="preserve">Z-score</t>
  </si>
  <si>
    <t xml:space="preserve">Verdict</t>
  </si>
  <si>
    <t xml:space="preserve">2026 mean</t>
  </si>
  <si>
    <t xml:space="preserve">Z of the MEAN = +5.3 - illustrative only: monthly usage is seasonal and autocorrelated, so the independence assumption is violated. The decisive test is Test 2 rows below and the winter comparison: all 12 prior winter months were 2-8 kGal; all three 2026 winter months are 11-15 kGal. Zero overlap.</t>
  </si>
  <si>
    <t xml:space="preserve">Test 2: The floor, not the peak, is what moved</t>
  </si>
  <si>
    <t xml:space="preserve">A behaviour change (bigger lawn, more guests, hotter summer) raises your PEAK months. A leak raises your FLOOR - the lowest month of the year - because it never stops running.</t>
  </si>
  <si>
    <t xml:space="preserve">Lowest Month kGal</t>
  </si>
  <si>
    <t xml:space="preserve">Highest Month kGal</t>
  </si>
  <si>
    <t xml:space="preserve">Spread</t>
  </si>
  <si>
    <t xml:space="preserve">The floor sat at 2-3 kGal every year 2021-2025. In 2026 it is 11 kGal. Cause confirmed: the irrigation winter shutdown was skipped starting mid-Dec 2025.</t>
  </si>
  <si>
    <t xml:space="preserve">Test 3: How big is the leak, in plumbing terms?</t>
  </si>
  <si>
    <t xml:space="preserve">Excess gallons, Jan-Jul 2026 vs Jan-Jul 2025</t>
  </si>
  <si>
    <t xml:space="preserve">Days in that window (Dec 13 to Jul 13)</t>
  </si>
  <si>
    <t xml:space="preserve">Excess flow, gallons per day</t>
  </si>
  <si>
    <t xml:space="preserve">Excess flow, gallons per minute</t>
  </si>
  <si>
    <t xml:space="preserve">Excess flow, drips per minute equivalent</t>
  </si>
  <si>
    <t xml:space="preserve">CONFIRMED Aug 2026 via EyeOnWater: usage spikes land on the Mon/Wed/Fri irrigation schedule; no continuous-flow leak detected. ~3,000+ gallons per run at current pace (11,606 gal/week, +45% WoW).</t>
  </si>
  <si>
    <t xml:space="preserve">Two changes: (1) irrigation ran through winter for the first time on record; (2) per-run volume grew and is still growing - consistent with over-programming (stacked programs, long run times) or a pressurized-only fault (cracked lateral, broken head, weeping valve).</t>
  </si>
  <si>
    <t xml:space="preserve">Fix: check controller (run minutes, seasonal adjust, stacked programs A/B/C); compare per-run gallons in EyeOnWater Hour view (this week vs May vs last Oct); walk zones during a run.</t>
  </si>
  <si>
    <t xml:space="preserve">Book the free NFBWA W.I.S.E. Guys irrigation evaluation (nfbwa.com/wise-guys). Target: ~1 inch/week (~3,000 gal/WEEK) in summer, near zero Nov-Feb. Current use is ~3x that.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</si>
</sst>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\$#,##0.00"/>
    <numFmt numFmtId="166" formatCode="\$0.00"/>
    <numFmt numFmtId="167" formatCode="#,##0"/>
    <numFmt numFmtId="168" formatCode="0"/>
    <numFmt numFmtId="169" formatCode="#,##0.0"/>
    <numFmt numFmtId="170" formatCode="0.0%"/>
    <numFmt numFmtId="171" formatCode="\+0%;\-0%"/>
    <numFmt numFmtId="172" formatCode="\$0.000"/>
    <numFmt numFmtId="173" formatCode="0%"/>
    <numFmt numFmtId="174" formatCode="\$#,##0"/>
    <numFmt numFmtId="175" formatCode="\$#,##0;&quot;($&quot;#,##0\)"/>
    <numFmt numFmtId="176" formatCode="0.00"/>
    <numFmt numFmtId="177" formatCode="\$#,##0.00;&quot;($&quot;#,##0.00\)"/>
    <numFmt numFmtId="178" formatCode="\+0.00;\-0.00"/>
    <numFmt numFmtId="179" formatCode="\+0.00"/>
    <numFmt numFmtId="180" formatCode="#,##0&quot; kGal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FFE699"/>
      </patternFill>
    </fill>
    <fill>
      <patternFill patternType="solid">
        <fgColor rgb="FFFFE6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7"/>
    <col collapsed="false" customWidth="true" hidden="false" outlineLevel="0" max="5" min="4" style="1" width="11"/>
    <col collapsed="false" customWidth="true" hidden="false" outlineLevel="0" max="8" min="6" style="1" width="10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10"/>
    <col collapsed="false" customWidth="true" hidden="false" outlineLevel="0" max="14" min="13" style="1" width="11"/>
    <col collapsed="false" customWidth="true" hidden="false" outlineLevel="0" max="15" min="15" style="1" width="9"/>
    <col collapsed="false" customWidth="true" hidden="false" outlineLevel="0" max="16" min="16" style="1" width="11"/>
    <col collapsed="false" customWidth="true" hidden="false" outlineLevel="0" max="17" min="17" style="1" width="10"/>
    <col collapsed="false" customWidth="true" hidden="false" outlineLevel="0" max="18" min="18" style="1" width="11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15" hidden="false" customHeight="true" outlineLevel="0" collapsed="false">
      <c r="A5" s="5" t="s">
        <v>20</v>
      </c>
      <c r="B5" s="5" t="n">
        <v>2021</v>
      </c>
      <c r="C5" s="5" t="n">
        <v>8</v>
      </c>
      <c r="D5" s="6" t="n">
        <v>747</v>
      </c>
      <c r="E5" s="6" t="n">
        <v>750</v>
      </c>
      <c r="F5" s="6" t="n">
        <v>3</v>
      </c>
      <c r="G5" s="7" t="n">
        <v>1.5</v>
      </c>
      <c r="H5" s="7" t="n">
        <v>3.33</v>
      </c>
      <c r="I5" s="8" t="n">
        <v>4.5</v>
      </c>
      <c r="J5" s="7" t="n">
        <v>13.5</v>
      </c>
      <c r="K5" s="7" t="n">
        <v>0</v>
      </c>
      <c r="L5" s="7" t="n">
        <v>180</v>
      </c>
      <c r="M5" s="7" t="n">
        <v>198.33</v>
      </c>
      <c r="N5" s="9" t="n">
        <f aca="false">G5+H5+J5+K5+L5</f>
        <v>198.33</v>
      </c>
      <c r="O5" s="9" t="n">
        <f aca="false">ROUND(N5-M5,2)</f>
        <v>0</v>
      </c>
      <c r="P5" s="9" t="n">
        <f aca="false">IF(F5=0,"",M5/F5)</f>
        <v>66.11</v>
      </c>
      <c r="Q5" s="9" t="n">
        <f aca="false">IF(A5&lt;"2024-02",H5,25+H5)</f>
        <v>3.33</v>
      </c>
      <c r="R5" s="9" t="n">
        <f aca="false">M5-Q5</f>
        <v>195</v>
      </c>
    </row>
    <row r="6" customFormat="false" ht="15" hidden="false" customHeight="true" outlineLevel="0" collapsed="false">
      <c r="A6" s="5" t="s">
        <v>21</v>
      </c>
      <c r="B6" s="5" t="n">
        <v>2021</v>
      </c>
      <c r="C6" s="5" t="n">
        <v>9</v>
      </c>
      <c r="D6" s="6" t="n">
        <v>750</v>
      </c>
      <c r="E6" s="6" t="n">
        <v>764</v>
      </c>
      <c r="F6" s="6" t="n">
        <v>14</v>
      </c>
      <c r="G6" s="7" t="n">
        <v>7</v>
      </c>
      <c r="H6" s="7" t="n">
        <v>10</v>
      </c>
      <c r="I6" s="8" t="n">
        <v>4.5</v>
      </c>
      <c r="J6" s="7" t="n">
        <v>63</v>
      </c>
      <c r="K6" s="7" t="n">
        <v>0</v>
      </c>
      <c r="L6" s="7" t="n">
        <v>0</v>
      </c>
      <c r="M6" s="7" t="n">
        <v>80</v>
      </c>
      <c r="N6" s="9" t="n">
        <f aca="false">G6+H6+J6+K6+L6</f>
        <v>80</v>
      </c>
      <c r="O6" s="9" t="n">
        <f aca="false">ROUND(N6-M6,2)</f>
        <v>0</v>
      </c>
      <c r="P6" s="9" t="n">
        <f aca="false">IF(F6=0,"",M6/F6)</f>
        <v>5.71428571428571</v>
      </c>
      <c r="Q6" s="9" t="n">
        <f aca="false">IF(A6&lt;"2024-02",H6,25+H6)</f>
        <v>10</v>
      </c>
      <c r="R6" s="9" t="n">
        <f aca="false">M6-Q6</f>
        <v>70</v>
      </c>
    </row>
    <row r="7" customFormat="false" ht="15" hidden="false" customHeight="true" outlineLevel="0" collapsed="false">
      <c r="A7" s="5" t="s">
        <v>22</v>
      </c>
      <c r="B7" s="5" t="n">
        <v>2021</v>
      </c>
      <c r="C7" s="5" t="n">
        <v>10</v>
      </c>
      <c r="D7" s="6" t="n">
        <v>764</v>
      </c>
      <c r="E7" s="6" t="n">
        <v>774</v>
      </c>
      <c r="F7" s="6" t="n">
        <v>10</v>
      </c>
      <c r="G7" s="7" t="n">
        <v>5</v>
      </c>
      <c r="H7" s="7" t="n">
        <v>10</v>
      </c>
      <c r="I7" s="8" t="n">
        <v>4.5</v>
      </c>
      <c r="J7" s="7" t="n">
        <v>45</v>
      </c>
      <c r="K7" s="7" t="n">
        <v>0</v>
      </c>
      <c r="L7" s="7" t="n">
        <v>0</v>
      </c>
      <c r="M7" s="7" t="n">
        <v>60</v>
      </c>
      <c r="N7" s="9" t="n">
        <f aca="false">G7+H7+J7+K7+L7</f>
        <v>60</v>
      </c>
      <c r="O7" s="9" t="n">
        <f aca="false">ROUND(N7-M7,2)</f>
        <v>0</v>
      </c>
      <c r="P7" s="9" t="n">
        <f aca="false">IF(F7=0,"",M7/F7)</f>
        <v>6</v>
      </c>
      <c r="Q7" s="9" t="n">
        <f aca="false">IF(A7&lt;"2024-02",H7,25+H7)</f>
        <v>10</v>
      </c>
      <c r="R7" s="9" t="n">
        <f aca="false">M7-Q7</f>
        <v>50</v>
      </c>
    </row>
    <row r="8" customFormat="false" ht="15" hidden="false" customHeight="true" outlineLevel="0" collapsed="false">
      <c r="A8" s="5" t="s">
        <v>23</v>
      </c>
      <c r="B8" s="5" t="n">
        <v>2021</v>
      </c>
      <c r="C8" s="5" t="n">
        <v>11</v>
      </c>
      <c r="D8" s="6" t="n">
        <v>774</v>
      </c>
      <c r="E8" s="6" t="n">
        <v>787</v>
      </c>
      <c r="F8" s="6" t="n">
        <v>13</v>
      </c>
      <c r="G8" s="7" t="n">
        <v>6.5</v>
      </c>
      <c r="H8" s="7" t="n">
        <v>10</v>
      </c>
      <c r="I8" s="8" t="n">
        <v>4.5</v>
      </c>
      <c r="J8" s="7" t="n">
        <v>58.5</v>
      </c>
      <c r="K8" s="7" t="n">
        <v>0</v>
      </c>
      <c r="L8" s="7" t="n">
        <v>0</v>
      </c>
      <c r="M8" s="7" t="n">
        <v>75</v>
      </c>
      <c r="N8" s="9" t="n">
        <f aca="false">G8+H8+J8+K8+L8</f>
        <v>75</v>
      </c>
      <c r="O8" s="9" t="n">
        <f aca="false">ROUND(N8-M8,2)</f>
        <v>0</v>
      </c>
      <c r="P8" s="9" t="n">
        <f aca="false">IF(F8=0,"",M8/F8)</f>
        <v>5.76923076923077</v>
      </c>
      <c r="Q8" s="9" t="n">
        <f aca="false">IF(A8&lt;"2024-02",H8,25+H8)</f>
        <v>10</v>
      </c>
      <c r="R8" s="9" t="n">
        <f aca="false">M8-Q8</f>
        <v>65</v>
      </c>
    </row>
    <row r="9" customFormat="false" ht="15" hidden="false" customHeight="true" outlineLevel="0" collapsed="false">
      <c r="A9" s="5" t="s">
        <v>24</v>
      </c>
      <c r="B9" s="5" t="n">
        <v>2021</v>
      </c>
      <c r="C9" s="5" t="n">
        <v>12</v>
      </c>
      <c r="D9" s="6" t="n">
        <v>787</v>
      </c>
      <c r="E9" s="6" t="n">
        <v>794</v>
      </c>
      <c r="F9" s="6" t="n">
        <v>7</v>
      </c>
      <c r="G9" s="7" t="n">
        <v>3.5</v>
      </c>
      <c r="H9" s="7" t="n">
        <v>10</v>
      </c>
      <c r="I9" s="8" t="n">
        <v>4.5</v>
      </c>
      <c r="J9" s="7" t="n">
        <v>31.5</v>
      </c>
      <c r="K9" s="7" t="n">
        <v>0</v>
      </c>
      <c r="L9" s="7" t="n">
        <v>0</v>
      </c>
      <c r="M9" s="7" t="n">
        <v>45</v>
      </c>
      <c r="N9" s="9" t="n">
        <f aca="false">G9+H9+J9+K9+L9</f>
        <v>45</v>
      </c>
      <c r="O9" s="9" t="n">
        <f aca="false">ROUND(N9-M9,2)</f>
        <v>0</v>
      </c>
      <c r="P9" s="9" t="n">
        <f aca="false">IF(F9=0,"",M9/F9)</f>
        <v>6.42857142857143</v>
      </c>
      <c r="Q9" s="9" t="n">
        <f aca="false">IF(A9&lt;"2024-02",H9,25+H9)</f>
        <v>10</v>
      </c>
      <c r="R9" s="9" t="n">
        <f aca="false">M9-Q9</f>
        <v>35</v>
      </c>
    </row>
    <row r="10" customFormat="false" ht="15" hidden="false" customHeight="true" outlineLevel="0" collapsed="false">
      <c r="A10" s="5" t="s">
        <v>25</v>
      </c>
      <c r="B10" s="5" t="n">
        <v>2022</v>
      </c>
      <c r="C10" s="5" t="n">
        <v>1</v>
      </c>
      <c r="D10" s="6" t="n">
        <v>794</v>
      </c>
      <c r="E10" s="6" t="n">
        <v>802</v>
      </c>
      <c r="F10" s="6" t="n">
        <v>8</v>
      </c>
      <c r="G10" s="7" t="n">
        <v>4</v>
      </c>
      <c r="H10" s="7" t="n">
        <v>10</v>
      </c>
      <c r="I10" s="8" t="n">
        <v>4.5</v>
      </c>
      <c r="J10" s="7" t="n">
        <v>36</v>
      </c>
      <c r="K10" s="7" t="n">
        <v>0</v>
      </c>
      <c r="L10" s="7" t="n">
        <v>0</v>
      </c>
      <c r="M10" s="7" t="n">
        <v>50</v>
      </c>
      <c r="N10" s="9" t="n">
        <f aca="false">G10+H10+J10+K10+L10</f>
        <v>50</v>
      </c>
      <c r="O10" s="9" t="n">
        <f aca="false">ROUND(N10-M10,2)</f>
        <v>0</v>
      </c>
      <c r="P10" s="9" t="n">
        <f aca="false">IF(F10=0,"",M10/F10)</f>
        <v>6.25</v>
      </c>
      <c r="Q10" s="9" t="n">
        <f aca="false">IF(A10&lt;"2024-02",H10,25+H10)</f>
        <v>10</v>
      </c>
      <c r="R10" s="9" t="n">
        <f aca="false">M10-Q10</f>
        <v>40</v>
      </c>
    </row>
    <row r="11" customFormat="false" ht="15" hidden="false" customHeight="true" outlineLevel="0" collapsed="false">
      <c r="A11" s="5" t="s">
        <v>26</v>
      </c>
      <c r="B11" s="5" t="n">
        <v>2022</v>
      </c>
      <c r="C11" s="5" t="n">
        <v>2</v>
      </c>
      <c r="D11" s="6" t="n">
        <v>802</v>
      </c>
      <c r="E11" s="6" t="n">
        <v>805</v>
      </c>
      <c r="F11" s="6" t="n">
        <v>3</v>
      </c>
      <c r="G11" s="7" t="n">
        <v>1.5</v>
      </c>
      <c r="H11" s="7" t="n">
        <v>10</v>
      </c>
      <c r="I11" s="8" t="n">
        <v>4.8</v>
      </c>
      <c r="J11" s="7" t="n">
        <v>14.4</v>
      </c>
      <c r="K11" s="7" t="n">
        <v>-6</v>
      </c>
      <c r="L11" s="7" t="n">
        <v>0</v>
      </c>
      <c r="M11" s="7" t="n">
        <v>19.9</v>
      </c>
      <c r="N11" s="9" t="n">
        <f aca="false">G11+H11+J11+K11+L11</f>
        <v>19.9</v>
      </c>
      <c r="O11" s="9" t="n">
        <f aca="false">ROUND(N11-M11,2)</f>
        <v>0</v>
      </c>
      <c r="P11" s="9" t="n">
        <f aca="false">IF(F11=0,"",M11/F11)</f>
        <v>6.63333333333333</v>
      </c>
      <c r="Q11" s="9" t="n">
        <f aca="false">IF(A11&lt;"2024-02",H11,25+H11)</f>
        <v>10</v>
      </c>
      <c r="R11" s="9" t="n">
        <f aca="false">M11-Q11</f>
        <v>9.9</v>
      </c>
    </row>
    <row r="12" customFormat="false" ht="15" hidden="false" customHeight="true" outlineLevel="0" collapsed="false">
      <c r="A12" s="5" t="s">
        <v>27</v>
      </c>
      <c r="B12" s="5" t="n">
        <v>2022</v>
      </c>
      <c r="C12" s="5" t="n">
        <v>3</v>
      </c>
      <c r="D12" s="6" t="n">
        <v>805</v>
      </c>
      <c r="E12" s="6" t="n">
        <v>809</v>
      </c>
      <c r="F12" s="6" t="n">
        <v>4</v>
      </c>
      <c r="G12" s="7" t="n">
        <v>2</v>
      </c>
      <c r="H12" s="7" t="n">
        <v>10</v>
      </c>
      <c r="I12" s="8" t="n">
        <v>4.8</v>
      </c>
      <c r="J12" s="7" t="n">
        <v>19.2</v>
      </c>
      <c r="K12" s="7" t="n">
        <v>-8</v>
      </c>
      <c r="L12" s="7" t="n">
        <v>0</v>
      </c>
      <c r="M12" s="7" t="n">
        <v>23.2</v>
      </c>
      <c r="N12" s="9" t="n">
        <f aca="false">G12+H12+J12+K12+L12</f>
        <v>23.2</v>
      </c>
      <c r="O12" s="9" t="n">
        <f aca="false">ROUND(N12-M12,2)</f>
        <v>0</v>
      </c>
      <c r="P12" s="9" t="n">
        <f aca="false">IF(F12=0,"",M12/F12)</f>
        <v>5.8</v>
      </c>
      <c r="Q12" s="9" t="n">
        <f aca="false">IF(A12&lt;"2024-02",H12,25+H12)</f>
        <v>10</v>
      </c>
      <c r="R12" s="9" t="n">
        <f aca="false">M12-Q12</f>
        <v>13.2</v>
      </c>
    </row>
    <row r="13" customFormat="false" ht="15" hidden="false" customHeight="true" outlineLevel="0" collapsed="false">
      <c r="A13" s="5" t="s">
        <v>28</v>
      </c>
      <c r="B13" s="5" t="n">
        <v>2022</v>
      </c>
      <c r="C13" s="5" t="n">
        <v>4</v>
      </c>
      <c r="D13" s="6" t="n">
        <v>809</v>
      </c>
      <c r="E13" s="6" t="n">
        <v>816</v>
      </c>
      <c r="F13" s="6" t="n">
        <v>7</v>
      </c>
      <c r="G13" s="7" t="n">
        <v>3.5</v>
      </c>
      <c r="H13" s="7" t="n">
        <v>10</v>
      </c>
      <c r="I13" s="8" t="n">
        <v>4.8</v>
      </c>
      <c r="J13" s="7" t="n">
        <v>33.6</v>
      </c>
      <c r="K13" s="7" t="n">
        <v>-14</v>
      </c>
      <c r="L13" s="7" t="n">
        <v>0</v>
      </c>
      <c r="M13" s="7" t="n">
        <v>33.1</v>
      </c>
      <c r="N13" s="9" t="n">
        <f aca="false">G13+H13+J13+K13+L13</f>
        <v>33.1</v>
      </c>
      <c r="O13" s="9" t="n">
        <f aca="false">ROUND(N13-M13,2)</f>
        <v>0</v>
      </c>
      <c r="P13" s="9" t="n">
        <f aca="false">IF(F13=0,"",M13/F13)</f>
        <v>4.72857142857143</v>
      </c>
      <c r="Q13" s="9" t="n">
        <f aca="false">IF(A13&lt;"2024-02",H13,25+H13)</f>
        <v>10</v>
      </c>
      <c r="R13" s="9" t="n">
        <f aca="false">M13-Q13</f>
        <v>23.1</v>
      </c>
    </row>
    <row r="14" customFormat="false" ht="15" hidden="false" customHeight="true" outlineLevel="0" collapsed="false">
      <c r="A14" s="5" t="s">
        <v>29</v>
      </c>
      <c r="B14" s="5" t="n">
        <v>2022</v>
      </c>
      <c r="C14" s="5" t="n">
        <v>5</v>
      </c>
      <c r="D14" s="6" t="n">
        <v>816</v>
      </c>
      <c r="E14" s="6" t="n">
        <v>827</v>
      </c>
      <c r="F14" s="6" t="n">
        <v>11</v>
      </c>
      <c r="G14" s="7" t="n">
        <v>5.5</v>
      </c>
      <c r="H14" s="7" t="n">
        <v>10</v>
      </c>
      <c r="I14" s="8" t="n">
        <v>4.8</v>
      </c>
      <c r="J14" s="7" t="n">
        <v>52.8</v>
      </c>
      <c r="K14" s="7" t="n">
        <v>-22</v>
      </c>
      <c r="L14" s="7" t="n">
        <v>0</v>
      </c>
      <c r="M14" s="7" t="n">
        <v>46.3</v>
      </c>
      <c r="N14" s="9" t="n">
        <f aca="false">G14+H14+J14+K14+L14</f>
        <v>46.3</v>
      </c>
      <c r="O14" s="9" t="n">
        <f aca="false">ROUND(N14-M14,2)</f>
        <v>0</v>
      </c>
      <c r="P14" s="9" t="n">
        <f aca="false">IF(F14=0,"",M14/F14)</f>
        <v>4.20909090909091</v>
      </c>
      <c r="Q14" s="9" t="n">
        <f aca="false">IF(A14&lt;"2024-02",H14,25+H14)</f>
        <v>10</v>
      </c>
      <c r="R14" s="9" t="n">
        <f aca="false">M14-Q14</f>
        <v>36.3</v>
      </c>
    </row>
    <row r="15" customFormat="false" ht="15" hidden="false" customHeight="true" outlineLevel="0" collapsed="false">
      <c r="A15" s="5" t="s">
        <v>30</v>
      </c>
      <c r="B15" s="5" t="n">
        <v>2022</v>
      </c>
      <c r="C15" s="5" t="n">
        <v>6</v>
      </c>
      <c r="D15" s="6" t="n">
        <v>827</v>
      </c>
      <c r="E15" s="6" t="n">
        <v>843</v>
      </c>
      <c r="F15" s="6" t="n">
        <v>16</v>
      </c>
      <c r="G15" s="7" t="n">
        <v>8</v>
      </c>
      <c r="H15" s="7" t="n">
        <v>10</v>
      </c>
      <c r="I15" s="8" t="n">
        <v>4.8</v>
      </c>
      <c r="J15" s="7" t="n">
        <v>76.8</v>
      </c>
      <c r="K15" s="7" t="n">
        <v>-32</v>
      </c>
      <c r="L15" s="7" t="n">
        <v>0</v>
      </c>
      <c r="M15" s="7" t="n">
        <v>62.8</v>
      </c>
      <c r="N15" s="9" t="n">
        <f aca="false">G15+H15+J15+K15+L15</f>
        <v>62.8</v>
      </c>
      <c r="O15" s="9" t="n">
        <f aca="false">ROUND(N15-M15,2)</f>
        <v>0</v>
      </c>
      <c r="P15" s="9" t="n">
        <f aca="false">IF(F15=0,"",M15/F15)</f>
        <v>3.925</v>
      </c>
      <c r="Q15" s="9" t="n">
        <f aca="false">IF(A15&lt;"2024-02",H15,25+H15)</f>
        <v>10</v>
      </c>
      <c r="R15" s="9" t="n">
        <f aca="false">M15-Q15</f>
        <v>52.8</v>
      </c>
    </row>
    <row r="16" customFormat="false" ht="15" hidden="false" customHeight="true" outlineLevel="0" collapsed="false">
      <c r="A16" s="5" t="s">
        <v>31</v>
      </c>
      <c r="B16" s="5" t="n">
        <v>2022</v>
      </c>
      <c r="C16" s="5" t="n">
        <v>7</v>
      </c>
      <c r="D16" s="6" t="n">
        <v>843</v>
      </c>
      <c r="E16" s="6" t="n">
        <v>861</v>
      </c>
      <c r="F16" s="6" t="n">
        <v>18</v>
      </c>
      <c r="G16" s="7" t="n">
        <v>9</v>
      </c>
      <c r="H16" s="7" t="n">
        <v>10</v>
      </c>
      <c r="I16" s="8" t="n">
        <v>4.9</v>
      </c>
      <c r="J16" s="7" t="n">
        <v>88.2</v>
      </c>
      <c r="K16" s="7" t="n">
        <v>-36</v>
      </c>
      <c r="L16" s="7" t="n">
        <v>0</v>
      </c>
      <c r="M16" s="7" t="n">
        <v>71.2</v>
      </c>
      <c r="N16" s="9" t="n">
        <f aca="false">G16+H16+J16+K16+L16</f>
        <v>71.2</v>
      </c>
      <c r="O16" s="9" t="n">
        <f aca="false">ROUND(N16-M16,2)</f>
        <v>0</v>
      </c>
      <c r="P16" s="9" t="n">
        <f aca="false">IF(F16=0,"",M16/F16)</f>
        <v>3.95555555555556</v>
      </c>
      <c r="Q16" s="9" t="n">
        <f aca="false">IF(A16&lt;"2024-02",H16,25+H16)</f>
        <v>10</v>
      </c>
      <c r="R16" s="9" t="n">
        <f aca="false">M16-Q16</f>
        <v>61.2</v>
      </c>
    </row>
    <row r="17" customFormat="false" ht="15" hidden="false" customHeight="true" outlineLevel="0" collapsed="false">
      <c r="A17" s="5" t="s">
        <v>32</v>
      </c>
      <c r="B17" s="5" t="n">
        <v>2022</v>
      </c>
      <c r="C17" s="5" t="n">
        <v>8</v>
      </c>
      <c r="D17" s="6" t="n">
        <v>861</v>
      </c>
      <c r="E17" s="6" t="n">
        <v>878</v>
      </c>
      <c r="F17" s="6" t="n">
        <v>17</v>
      </c>
      <c r="G17" s="7" t="n">
        <v>8.5</v>
      </c>
      <c r="H17" s="7" t="n">
        <v>10</v>
      </c>
      <c r="I17" s="8" t="n">
        <v>4.9</v>
      </c>
      <c r="J17" s="7" t="n">
        <v>83.3</v>
      </c>
      <c r="K17" s="7" t="n">
        <v>-34</v>
      </c>
      <c r="L17" s="7" t="n">
        <v>0</v>
      </c>
      <c r="M17" s="7" t="n">
        <v>67.8</v>
      </c>
      <c r="N17" s="9" t="n">
        <f aca="false">G17+H17+J17+K17+L17</f>
        <v>67.8</v>
      </c>
      <c r="O17" s="9" t="n">
        <f aca="false">ROUND(N17-M17,2)</f>
        <v>0</v>
      </c>
      <c r="P17" s="9" t="n">
        <f aca="false">IF(F17=0,"",M17/F17)</f>
        <v>3.98823529411765</v>
      </c>
      <c r="Q17" s="9" t="n">
        <f aca="false">IF(A17&lt;"2024-02",H17,25+H17)</f>
        <v>10</v>
      </c>
      <c r="R17" s="9" t="n">
        <f aca="false">M17-Q17</f>
        <v>57.8</v>
      </c>
    </row>
    <row r="18" customFormat="false" ht="15" hidden="false" customHeight="true" outlineLevel="0" collapsed="false">
      <c r="A18" s="5" t="s">
        <v>33</v>
      </c>
      <c r="B18" s="5" t="n">
        <v>2022</v>
      </c>
      <c r="C18" s="5" t="n">
        <v>9</v>
      </c>
      <c r="D18" s="6" t="n">
        <v>878</v>
      </c>
      <c r="E18" s="6" t="n">
        <v>884</v>
      </c>
      <c r="F18" s="6" t="n">
        <v>6</v>
      </c>
      <c r="G18" s="7" t="n">
        <v>3</v>
      </c>
      <c r="H18" s="7" t="n">
        <v>10</v>
      </c>
      <c r="I18" s="8" t="n">
        <v>4.9</v>
      </c>
      <c r="J18" s="7" t="n">
        <v>29.4</v>
      </c>
      <c r="K18" s="7" t="n">
        <v>-12</v>
      </c>
      <c r="L18" s="7" t="n">
        <v>0</v>
      </c>
      <c r="M18" s="7" t="n">
        <v>30.4</v>
      </c>
      <c r="N18" s="9" t="n">
        <f aca="false">G18+H18+J18+K18+L18</f>
        <v>30.4</v>
      </c>
      <c r="O18" s="9" t="n">
        <f aca="false">ROUND(N18-M18,2)</f>
        <v>0</v>
      </c>
      <c r="P18" s="9" t="n">
        <f aca="false">IF(F18=0,"",M18/F18)</f>
        <v>5.06666666666667</v>
      </c>
      <c r="Q18" s="9" t="n">
        <f aca="false">IF(A18&lt;"2024-02",H18,25+H18)</f>
        <v>10</v>
      </c>
      <c r="R18" s="9" t="n">
        <f aca="false">M18-Q18</f>
        <v>20.4</v>
      </c>
    </row>
    <row r="19" customFormat="false" ht="15" hidden="false" customHeight="true" outlineLevel="0" collapsed="false">
      <c r="A19" s="5" t="s">
        <v>34</v>
      </c>
      <c r="B19" s="5" t="n">
        <v>2022</v>
      </c>
      <c r="C19" s="5" t="n">
        <v>10</v>
      </c>
      <c r="D19" s="6" t="n">
        <v>884</v>
      </c>
      <c r="E19" s="6" t="n">
        <v>896</v>
      </c>
      <c r="F19" s="6" t="n">
        <v>12</v>
      </c>
      <c r="G19" s="7" t="n">
        <v>6</v>
      </c>
      <c r="H19" s="7" t="n">
        <v>10</v>
      </c>
      <c r="I19" s="8" t="n">
        <v>4.9</v>
      </c>
      <c r="J19" s="7" t="n">
        <v>58.8</v>
      </c>
      <c r="K19" s="7" t="n">
        <v>-24</v>
      </c>
      <c r="L19" s="7" t="n">
        <v>0</v>
      </c>
      <c r="M19" s="7" t="n">
        <v>50.8</v>
      </c>
      <c r="N19" s="9" t="n">
        <f aca="false">G19+H19+J19+K19+L19</f>
        <v>50.8</v>
      </c>
      <c r="O19" s="9" t="n">
        <f aca="false">ROUND(N19-M19,2)</f>
        <v>0</v>
      </c>
      <c r="P19" s="9" t="n">
        <f aca="false">IF(F19=0,"",M19/F19)</f>
        <v>4.23333333333333</v>
      </c>
      <c r="Q19" s="9" t="n">
        <f aca="false">IF(A19&lt;"2024-02",H19,25+H19)</f>
        <v>10</v>
      </c>
      <c r="R19" s="9" t="n">
        <f aca="false">M19-Q19</f>
        <v>40.8</v>
      </c>
    </row>
    <row r="20" customFormat="false" ht="15" hidden="false" customHeight="true" outlineLevel="0" collapsed="false">
      <c r="A20" s="5" t="s">
        <v>35</v>
      </c>
      <c r="B20" s="5" t="n">
        <v>2022</v>
      </c>
      <c r="C20" s="5" t="n">
        <v>11</v>
      </c>
      <c r="D20" s="6" t="n">
        <v>896</v>
      </c>
      <c r="E20" s="6" t="n">
        <v>901</v>
      </c>
      <c r="F20" s="6" t="n">
        <v>5</v>
      </c>
      <c r="G20" s="7" t="n">
        <v>2.5</v>
      </c>
      <c r="H20" s="7" t="n">
        <v>10</v>
      </c>
      <c r="I20" s="8" t="n">
        <v>4.9</v>
      </c>
      <c r="J20" s="7" t="n">
        <v>24.5</v>
      </c>
      <c r="K20" s="7" t="n">
        <v>-10</v>
      </c>
      <c r="L20" s="7" t="n">
        <v>0</v>
      </c>
      <c r="M20" s="7" t="n">
        <v>27</v>
      </c>
      <c r="N20" s="9" t="n">
        <f aca="false">G20+H20+J20+K20+L20</f>
        <v>27</v>
      </c>
      <c r="O20" s="9" t="n">
        <f aca="false">ROUND(N20-M20,2)</f>
        <v>0</v>
      </c>
      <c r="P20" s="9" t="n">
        <f aca="false">IF(F20=0,"",M20/F20)</f>
        <v>5.4</v>
      </c>
      <c r="Q20" s="9" t="n">
        <f aca="false">IF(A20&lt;"2024-02",H20,25+H20)</f>
        <v>10</v>
      </c>
      <c r="R20" s="9" t="n">
        <f aca="false">M20-Q20</f>
        <v>17</v>
      </c>
    </row>
    <row r="21" customFormat="false" ht="15" hidden="false" customHeight="true" outlineLevel="0" collapsed="false">
      <c r="A21" s="5" t="s">
        <v>36</v>
      </c>
      <c r="B21" s="5" t="n">
        <v>2022</v>
      </c>
      <c r="C21" s="5" t="n">
        <v>12</v>
      </c>
      <c r="D21" s="6" t="n">
        <v>901</v>
      </c>
      <c r="E21" s="6" t="n">
        <v>905</v>
      </c>
      <c r="F21" s="6" t="n">
        <v>4</v>
      </c>
      <c r="G21" s="7" t="n">
        <v>2</v>
      </c>
      <c r="H21" s="7" t="n">
        <v>10</v>
      </c>
      <c r="I21" s="8" t="n">
        <v>4.9</v>
      </c>
      <c r="J21" s="7" t="n">
        <v>19.6</v>
      </c>
      <c r="K21" s="7" t="n">
        <v>-8</v>
      </c>
      <c r="L21" s="7" t="n">
        <v>0</v>
      </c>
      <c r="M21" s="7" t="n">
        <v>23.6</v>
      </c>
      <c r="N21" s="9" t="n">
        <f aca="false">G21+H21+J21+K21+L21</f>
        <v>23.6</v>
      </c>
      <c r="O21" s="9" t="n">
        <f aca="false">ROUND(N21-M21,2)</f>
        <v>0</v>
      </c>
      <c r="P21" s="9" t="n">
        <f aca="false">IF(F21=0,"",M21/F21)</f>
        <v>5.9</v>
      </c>
      <c r="Q21" s="9" t="n">
        <f aca="false">IF(A21&lt;"2024-02",H21,25+H21)</f>
        <v>10</v>
      </c>
      <c r="R21" s="9" t="n">
        <f aca="false">M21-Q21</f>
        <v>13.6</v>
      </c>
    </row>
    <row r="22" customFormat="false" ht="15" hidden="false" customHeight="true" outlineLevel="0" collapsed="false">
      <c r="A22" s="5" t="s">
        <v>37</v>
      </c>
      <c r="B22" s="5" t="n">
        <v>2023</v>
      </c>
      <c r="C22" s="5" t="n">
        <v>1</v>
      </c>
      <c r="D22" s="6" t="n">
        <v>905</v>
      </c>
      <c r="E22" s="6" t="n">
        <v>911</v>
      </c>
      <c r="F22" s="6" t="n">
        <v>6</v>
      </c>
      <c r="G22" s="7" t="n">
        <v>3</v>
      </c>
      <c r="H22" s="7" t="n">
        <v>10</v>
      </c>
      <c r="I22" s="8" t="n">
        <v>4.9</v>
      </c>
      <c r="J22" s="7" t="n">
        <v>29.4</v>
      </c>
      <c r="K22" s="7" t="n">
        <v>-12</v>
      </c>
      <c r="L22" s="7" t="n">
        <v>0</v>
      </c>
      <c r="M22" s="7" t="n">
        <v>30.4</v>
      </c>
      <c r="N22" s="9" t="n">
        <f aca="false">G22+H22+J22+K22+L22</f>
        <v>30.4</v>
      </c>
      <c r="O22" s="9" t="n">
        <f aca="false">ROUND(N22-M22,2)</f>
        <v>0</v>
      </c>
      <c r="P22" s="9" t="n">
        <f aca="false">IF(F22=0,"",M22/F22)</f>
        <v>5.06666666666667</v>
      </c>
      <c r="Q22" s="9" t="n">
        <f aca="false">IF(A22&lt;"2024-02",H22,25+H22)</f>
        <v>10</v>
      </c>
      <c r="R22" s="9" t="n">
        <f aca="false">M22-Q22</f>
        <v>20.4</v>
      </c>
    </row>
    <row r="23" customFormat="false" ht="15" hidden="false" customHeight="true" outlineLevel="0" collapsed="false">
      <c r="A23" s="5" t="s">
        <v>38</v>
      </c>
      <c r="B23" s="5" t="n">
        <v>2023</v>
      </c>
      <c r="C23" s="5" t="n">
        <v>2</v>
      </c>
      <c r="D23" s="6" t="n">
        <v>911</v>
      </c>
      <c r="E23" s="6" t="n">
        <v>913</v>
      </c>
      <c r="F23" s="6" t="n">
        <v>2</v>
      </c>
      <c r="G23" s="7" t="n">
        <v>1</v>
      </c>
      <c r="H23" s="7" t="n">
        <v>10</v>
      </c>
      <c r="I23" s="8" t="n">
        <v>4.9</v>
      </c>
      <c r="J23" s="7" t="n">
        <v>9.8</v>
      </c>
      <c r="K23" s="7" t="n">
        <v>-4</v>
      </c>
      <c r="L23" s="7" t="n">
        <v>0</v>
      </c>
      <c r="M23" s="7" t="n">
        <v>16.8</v>
      </c>
      <c r="N23" s="9" t="n">
        <f aca="false">G23+H23+J23+K23+L23</f>
        <v>16.8</v>
      </c>
      <c r="O23" s="9" t="n">
        <f aca="false">ROUND(N23-M23,2)</f>
        <v>0</v>
      </c>
      <c r="P23" s="9" t="n">
        <f aca="false">IF(F23=0,"",M23/F23)</f>
        <v>8.4</v>
      </c>
      <c r="Q23" s="9" t="n">
        <f aca="false">IF(A23&lt;"2024-02",H23,25+H23)</f>
        <v>10</v>
      </c>
      <c r="R23" s="9" t="n">
        <f aca="false">M23-Q23</f>
        <v>6.8</v>
      </c>
    </row>
    <row r="24" customFormat="false" ht="15" hidden="false" customHeight="true" outlineLevel="0" collapsed="false">
      <c r="A24" s="5" t="s">
        <v>39</v>
      </c>
      <c r="B24" s="5" t="n">
        <v>2023</v>
      </c>
      <c r="C24" s="5" t="n">
        <v>3</v>
      </c>
      <c r="D24" s="6" t="n">
        <v>913</v>
      </c>
      <c r="E24" s="6" t="n">
        <v>921</v>
      </c>
      <c r="F24" s="6" t="n">
        <v>8</v>
      </c>
      <c r="G24" s="7" t="n">
        <v>4</v>
      </c>
      <c r="H24" s="7" t="n">
        <v>10</v>
      </c>
      <c r="I24" s="8" t="n">
        <v>4.9</v>
      </c>
      <c r="J24" s="7" t="n">
        <v>39.2</v>
      </c>
      <c r="K24" s="7" t="n">
        <v>-16</v>
      </c>
      <c r="L24" s="7" t="n">
        <v>0</v>
      </c>
      <c r="M24" s="7" t="n">
        <v>37.2</v>
      </c>
      <c r="N24" s="9" t="n">
        <f aca="false">G24+H24+J24+K24+L24</f>
        <v>37.2</v>
      </c>
      <c r="O24" s="9" t="n">
        <f aca="false">ROUND(N24-M24,2)</f>
        <v>0</v>
      </c>
      <c r="P24" s="9" t="n">
        <f aca="false">IF(F24=0,"",M24/F24)</f>
        <v>4.65</v>
      </c>
      <c r="Q24" s="9" t="n">
        <f aca="false">IF(A24&lt;"2024-02",H24,25+H24)</f>
        <v>10</v>
      </c>
      <c r="R24" s="9" t="n">
        <f aca="false">M24-Q24</f>
        <v>27.2</v>
      </c>
    </row>
    <row r="25" customFormat="false" ht="15" hidden="false" customHeight="true" outlineLevel="0" collapsed="false">
      <c r="A25" s="5" t="s">
        <v>40</v>
      </c>
      <c r="B25" s="5" t="n">
        <v>2023</v>
      </c>
      <c r="C25" s="5" t="n">
        <v>4</v>
      </c>
      <c r="D25" s="6" t="n">
        <v>921</v>
      </c>
      <c r="E25" s="6" t="n">
        <v>926</v>
      </c>
      <c r="F25" s="6" t="n">
        <v>5</v>
      </c>
      <c r="G25" s="7" t="n">
        <v>2.5</v>
      </c>
      <c r="H25" s="7" t="n">
        <v>10</v>
      </c>
      <c r="I25" s="8" t="n">
        <v>4.9</v>
      </c>
      <c r="J25" s="7" t="n">
        <v>24.5</v>
      </c>
      <c r="K25" s="7" t="n">
        <v>-10</v>
      </c>
      <c r="L25" s="7" t="n">
        <v>0</v>
      </c>
      <c r="M25" s="7" t="n">
        <v>27</v>
      </c>
      <c r="N25" s="9" t="n">
        <f aca="false">G25+H25+J25+K25+L25</f>
        <v>27</v>
      </c>
      <c r="O25" s="9" t="n">
        <f aca="false">ROUND(N25-M25,2)</f>
        <v>0</v>
      </c>
      <c r="P25" s="9" t="n">
        <f aca="false">IF(F25=0,"",M25/F25)</f>
        <v>5.4</v>
      </c>
      <c r="Q25" s="9" t="n">
        <f aca="false">IF(A25&lt;"2024-02",H25,25+H25)</f>
        <v>10</v>
      </c>
      <c r="R25" s="9" t="n">
        <f aca="false">M25-Q25</f>
        <v>17</v>
      </c>
    </row>
    <row r="26" customFormat="false" ht="15" hidden="false" customHeight="true" outlineLevel="0" collapsed="false">
      <c r="A26" s="5" t="s">
        <v>41</v>
      </c>
      <c r="B26" s="5" t="n">
        <v>2023</v>
      </c>
      <c r="C26" s="5" t="n">
        <v>5</v>
      </c>
      <c r="D26" s="6" t="n">
        <v>926</v>
      </c>
      <c r="E26" s="6" t="n">
        <v>931</v>
      </c>
      <c r="F26" s="6" t="n">
        <v>5</v>
      </c>
      <c r="G26" s="7" t="n">
        <v>2.5</v>
      </c>
      <c r="H26" s="7" t="n">
        <v>10</v>
      </c>
      <c r="I26" s="8" t="n">
        <v>4.9</v>
      </c>
      <c r="J26" s="7" t="n">
        <v>24.5</v>
      </c>
      <c r="K26" s="7" t="n">
        <v>-10</v>
      </c>
      <c r="L26" s="7" t="n">
        <v>0</v>
      </c>
      <c r="M26" s="7" t="n">
        <v>27</v>
      </c>
      <c r="N26" s="9" t="n">
        <f aca="false">G26+H26+J26+K26+L26</f>
        <v>27</v>
      </c>
      <c r="O26" s="9" t="n">
        <f aca="false">ROUND(N26-M26,2)</f>
        <v>0</v>
      </c>
      <c r="P26" s="9" t="n">
        <f aca="false">IF(F26=0,"",M26/F26)</f>
        <v>5.4</v>
      </c>
      <c r="Q26" s="9" t="n">
        <f aca="false">IF(A26&lt;"2024-02",H26,25+H26)</f>
        <v>10</v>
      </c>
      <c r="R26" s="9" t="n">
        <f aca="false">M26-Q26</f>
        <v>17</v>
      </c>
    </row>
    <row r="27" customFormat="false" ht="15" hidden="false" customHeight="true" outlineLevel="0" collapsed="false">
      <c r="A27" s="5" t="s">
        <v>42</v>
      </c>
      <c r="B27" s="5" t="n">
        <v>2023</v>
      </c>
      <c r="C27" s="5" t="n">
        <v>6</v>
      </c>
      <c r="D27" s="6" t="n">
        <v>931</v>
      </c>
      <c r="E27" s="6" t="n">
        <v>946</v>
      </c>
      <c r="F27" s="6" t="n">
        <v>15</v>
      </c>
      <c r="G27" s="7" t="n">
        <v>7.5</v>
      </c>
      <c r="H27" s="7" t="n">
        <v>10</v>
      </c>
      <c r="I27" s="8" t="n">
        <v>4.9</v>
      </c>
      <c r="J27" s="7" t="n">
        <v>73.5</v>
      </c>
      <c r="K27" s="7" t="n">
        <v>-30</v>
      </c>
      <c r="L27" s="7" t="n">
        <v>0</v>
      </c>
      <c r="M27" s="7" t="n">
        <v>61</v>
      </c>
      <c r="N27" s="9" t="n">
        <f aca="false">G27+H27+J27+K27+L27</f>
        <v>61</v>
      </c>
      <c r="O27" s="9" t="n">
        <f aca="false">ROUND(N27-M27,2)</f>
        <v>0</v>
      </c>
      <c r="P27" s="9" t="n">
        <f aca="false">IF(F27=0,"",M27/F27)</f>
        <v>4.06666666666667</v>
      </c>
      <c r="Q27" s="9" t="n">
        <f aca="false">IF(A27&lt;"2024-02",H27,25+H27)</f>
        <v>10</v>
      </c>
      <c r="R27" s="9" t="n">
        <f aca="false">M27-Q27</f>
        <v>51</v>
      </c>
    </row>
    <row r="28" customFormat="false" ht="15" hidden="false" customHeight="true" outlineLevel="0" collapsed="false">
      <c r="A28" s="5" t="s">
        <v>43</v>
      </c>
      <c r="B28" s="5" t="n">
        <v>2023</v>
      </c>
      <c r="C28" s="5" t="n">
        <v>7</v>
      </c>
      <c r="D28" s="6" t="n">
        <v>946</v>
      </c>
      <c r="E28" s="6" t="n">
        <v>961</v>
      </c>
      <c r="F28" s="6" t="n">
        <v>15</v>
      </c>
      <c r="G28" s="7" t="n">
        <v>7.5</v>
      </c>
      <c r="H28" s="7" t="n">
        <v>10</v>
      </c>
      <c r="I28" s="8" t="n">
        <v>4.9</v>
      </c>
      <c r="J28" s="7" t="n">
        <v>73.5</v>
      </c>
      <c r="K28" s="7" t="n">
        <v>-30</v>
      </c>
      <c r="L28" s="7" t="n">
        <v>0</v>
      </c>
      <c r="M28" s="7" t="n">
        <v>61</v>
      </c>
      <c r="N28" s="9" t="n">
        <f aca="false">G28+H28+J28+K28+L28</f>
        <v>61</v>
      </c>
      <c r="O28" s="9" t="n">
        <f aca="false">ROUND(N28-M28,2)</f>
        <v>0</v>
      </c>
      <c r="P28" s="9" t="n">
        <f aca="false">IF(F28=0,"",M28/F28)</f>
        <v>4.06666666666667</v>
      </c>
      <c r="Q28" s="9" t="n">
        <f aca="false">IF(A28&lt;"2024-02",H28,25+H28)</f>
        <v>10</v>
      </c>
      <c r="R28" s="9" t="n">
        <f aca="false">M28-Q28</f>
        <v>51</v>
      </c>
    </row>
    <row r="29" customFormat="false" ht="15" hidden="false" customHeight="true" outlineLevel="0" collapsed="false">
      <c r="A29" s="5" t="s">
        <v>44</v>
      </c>
      <c r="B29" s="5" t="n">
        <v>2023</v>
      </c>
      <c r="C29" s="5" t="n">
        <v>8</v>
      </c>
      <c r="D29" s="6" t="n">
        <v>961</v>
      </c>
      <c r="E29" s="6" t="n">
        <v>982</v>
      </c>
      <c r="F29" s="6" t="n">
        <v>21</v>
      </c>
      <c r="G29" s="7" t="n">
        <v>11.5</v>
      </c>
      <c r="H29" s="7" t="n">
        <v>10</v>
      </c>
      <c r="I29" s="8" t="n">
        <v>4.9</v>
      </c>
      <c r="J29" s="7" t="n">
        <v>102.9</v>
      </c>
      <c r="K29" s="7" t="n">
        <v>-42</v>
      </c>
      <c r="L29" s="7" t="n">
        <v>0</v>
      </c>
      <c r="M29" s="7" t="n">
        <v>82.4</v>
      </c>
      <c r="N29" s="9" t="n">
        <f aca="false">G29+H29+J29+K29+L29</f>
        <v>82.4</v>
      </c>
      <c r="O29" s="9" t="n">
        <f aca="false">ROUND(N29-M29,2)</f>
        <v>0</v>
      </c>
      <c r="P29" s="9" t="n">
        <f aca="false">IF(F29=0,"",M29/F29)</f>
        <v>3.92380952380952</v>
      </c>
      <c r="Q29" s="9" t="n">
        <f aca="false">IF(A29&lt;"2024-02",H29,25+H29)</f>
        <v>10</v>
      </c>
      <c r="R29" s="9" t="n">
        <f aca="false">M29-Q29</f>
        <v>72.4</v>
      </c>
    </row>
    <row r="30" customFormat="false" ht="15" hidden="false" customHeight="true" outlineLevel="0" collapsed="false">
      <c r="A30" s="5" t="s">
        <v>45</v>
      </c>
      <c r="B30" s="5" t="n">
        <v>2023</v>
      </c>
      <c r="C30" s="5" t="n">
        <v>9</v>
      </c>
      <c r="D30" s="6" t="n">
        <v>982</v>
      </c>
      <c r="E30" s="6" t="n">
        <v>1001</v>
      </c>
      <c r="F30" s="6" t="n">
        <v>19</v>
      </c>
      <c r="G30" s="7" t="n">
        <v>9.5</v>
      </c>
      <c r="H30" s="7" t="n">
        <v>10</v>
      </c>
      <c r="I30" s="8" t="n">
        <v>4.9</v>
      </c>
      <c r="J30" s="7" t="n">
        <v>93.1</v>
      </c>
      <c r="K30" s="7" t="n">
        <v>-38</v>
      </c>
      <c r="L30" s="7" t="n">
        <v>0</v>
      </c>
      <c r="M30" s="7" t="n">
        <v>74.6</v>
      </c>
      <c r="N30" s="9" t="n">
        <f aca="false">G30+H30+J30+K30+L30</f>
        <v>74.6</v>
      </c>
      <c r="O30" s="9" t="n">
        <f aca="false">ROUND(N30-M30,2)</f>
        <v>0</v>
      </c>
      <c r="P30" s="9" t="n">
        <f aca="false">IF(F30=0,"",M30/F30)</f>
        <v>3.92631578947368</v>
      </c>
      <c r="Q30" s="9" t="n">
        <f aca="false">IF(A30&lt;"2024-02",H30,25+H30)</f>
        <v>10</v>
      </c>
      <c r="R30" s="9" t="n">
        <f aca="false">M30-Q30</f>
        <v>64.6</v>
      </c>
    </row>
    <row r="31" customFormat="false" ht="15" hidden="false" customHeight="true" outlineLevel="0" collapsed="false">
      <c r="A31" s="5" t="s">
        <v>46</v>
      </c>
      <c r="B31" s="5" t="n">
        <v>2023</v>
      </c>
      <c r="C31" s="5" t="n">
        <v>10</v>
      </c>
      <c r="D31" s="6" t="n">
        <v>1001</v>
      </c>
      <c r="E31" s="6" t="n">
        <v>1010</v>
      </c>
      <c r="F31" s="6" t="n">
        <v>9</v>
      </c>
      <c r="G31" s="7" t="n">
        <v>4.5</v>
      </c>
      <c r="H31" s="7" t="n">
        <v>10</v>
      </c>
      <c r="I31" s="8" t="n">
        <v>4.9</v>
      </c>
      <c r="J31" s="7" t="n">
        <v>44.1</v>
      </c>
      <c r="K31" s="7" t="n">
        <v>-18</v>
      </c>
      <c r="L31" s="7" t="n">
        <v>0</v>
      </c>
      <c r="M31" s="7" t="n">
        <v>40.6</v>
      </c>
      <c r="N31" s="9" t="n">
        <f aca="false">G31+H31+J31+K31+L31</f>
        <v>40.6</v>
      </c>
      <c r="O31" s="9" t="n">
        <f aca="false">ROUND(N31-M31,2)</f>
        <v>0</v>
      </c>
      <c r="P31" s="9" t="n">
        <f aca="false">IF(F31=0,"",M31/F31)</f>
        <v>4.51111111111111</v>
      </c>
      <c r="Q31" s="9" t="n">
        <f aca="false">IF(A31&lt;"2024-02",H31,25+H31)</f>
        <v>10</v>
      </c>
      <c r="R31" s="9" t="n">
        <f aca="false">M31-Q31</f>
        <v>30.6</v>
      </c>
    </row>
    <row r="32" customFormat="false" ht="15" hidden="false" customHeight="true" outlineLevel="0" collapsed="false">
      <c r="A32" s="5" t="s">
        <v>47</v>
      </c>
      <c r="B32" s="5" t="n">
        <v>2023</v>
      </c>
      <c r="C32" s="5" t="n">
        <v>11</v>
      </c>
      <c r="D32" s="6" t="n">
        <v>1010</v>
      </c>
      <c r="E32" s="6" t="n">
        <v>1018</v>
      </c>
      <c r="F32" s="6" t="n">
        <v>8</v>
      </c>
      <c r="G32" s="7" t="n">
        <v>4</v>
      </c>
      <c r="H32" s="7" t="n">
        <v>10</v>
      </c>
      <c r="I32" s="8" t="n">
        <v>4.9</v>
      </c>
      <c r="J32" s="7" t="n">
        <v>39.2</v>
      </c>
      <c r="K32" s="7" t="n">
        <v>-16</v>
      </c>
      <c r="L32" s="7" t="n">
        <v>0</v>
      </c>
      <c r="M32" s="7" t="n">
        <v>37.2</v>
      </c>
      <c r="N32" s="9" t="n">
        <f aca="false">G32+H32+J32+K32+L32</f>
        <v>37.2</v>
      </c>
      <c r="O32" s="9" t="n">
        <f aca="false">ROUND(N32-M32,2)</f>
        <v>0</v>
      </c>
      <c r="P32" s="9" t="n">
        <f aca="false">IF(F32=0,"",M32/F32)</f>
        <v>4.65</v>
      </c>
      <c r="Q32" s="9" t="n">
        <f aca="false">IF(A32&lt;"2024-02",H32,25+H32)</f>
        <v>10</v>
      </c>
      <c r="R32" s="9" t="n">
        <f aca="false">M32-Q32</f>
        <v>27.2</v>
      </c>
    </row>
    <row r="33" customFormat="false" ht="15" hidden="false" customHeight="true" outlineLevel="0" collapsed="false">
      <c r="A33" s="5" t="s">
        <v>48</v>
      </c>
      <c r="B33" s="5" t="n">
        <v>2023</v>
      </c>
      <c r="C33" s="5" t="n">
        <v>12</v>
      </c>
      <c r="D33" s="6" t="n">
        <v>1018</v>
      </c>
      <c r="E33" s="6" t="n">
        <v>1022</v>
      </c>
      <c r="F33" s="6" t="n">
        <v>4</v>
      </c>
      <c r="G33" s="7" t="n">
        <v>2</v>
      </c>
      <c r="H33" s="7" t="n">
        <v>10</v>
      </c>
      <c r="I33" s="8" t="n">
        <v>4.9</v>
      </c>
      <c r="J33" s="7" t="n">
        <v>19.6</v>
      </c>
      <c r="K33" s="7" t="n">
        <v>-8</v>
      </c>
      <c r="L33" s="7" t="n">
        <v>0</v>
      </c>
      <c r="M33" s="7" t="n">
        <v>23.6</v>
      </c>
      <c r="N33" s="9" t="n">
        <f aca="false">G33+H33+J33+K33+L33</f>
        <v>23.6</v>
      </c>
      <c r="O33" s="9" t="n">
        <f aca="false">ROUND(N33-M33,2)</f>
        <v>0</v>
      </c>
      <c r="P33" s="9" t="n">
        <f aca="false">IF(F33=0,"",M33/F33)</f>
        <v>5.9</v>
      </c>
      <c r="Q33" s="9" t="n">
        <f aca="false">IF(A33&lt;"2024-02",H33,25+H33)</f>
        <v>10</v>
      </c>
      <c r="R33" s="9" t="n">
        <f aca="false">M33-Q33</f>
        <v>13.6</v>
      </c>
    </row>
    <row r="34" customFormat="false" ht="15" hidden="false" customHeight="true" outlineLevel="0" collapsed="false">
      <c r="A34" s="5" t="s">
        <v>49</v>
      </c>
      <c r="B34" s="5" t="n">
        <v>2024</v>
      </c>
      <c r="C34" s="5" t="n">
        <v>1</v>
      </c>
      <c r="D34" s="6" t="n">
        <v>1022</v>
      </c>
      <c r="E34" s="6" t="n">
        <v>1029</v>
      </c>
      <c r="F34" s="6" t="n">
        <v>7</v>
      </c>
      <c r="G34" s="7" t="n">
        <v>3.5</v>
      </c>
      <c r="H34" s="7" t="n">
        <v>10</v>
      </c>
      <c r="I34" s="8" t="n">
        <v>4.9</v>
      </c>
      <c r="J34" s="7" t="n">
        <v>34.3</v>
      </c>
      <c r="K34" s="7" t="n">
        <v>-14</v>
      </c>
      <c r="L34" s="7" t="n">
        <v>0</v>
      </c>
      <c r="M34" s="7" t="n">
        <v>33.8</v>
      </c>
      <c r="N34" s="9" t="n">
        <f aca="false">G34+H34+J34+K34+L34</f>
        <v>33.8</v>
      </c>
      <c r="O34" s="9" t="n">
        <f aca="false">ROUND(N34-M34,2)</f>
        <v>0</v>
      </c>
      <c r="P34" s="9" t="n">
        <f aca="false">IF(F34=0,"",M34/F34)</f>
        <v>4.82857142857143</v>
      </c>
      <c r="Q34" s="9" t="n">
        <f aca="false">IF(A34&lt;"2024-02",H34,25+H34)</f>
        <v>10</v>
      </c>
      <c r="R34" s="9" t="n">
        <f aca="false">M34-Q34</f>
        <v>23.8</v>
      </c>
    </row>
    <row r="35" customFormat="false" ht="15" hidden="false" customHeight="true" outlineLevel="0" collapsed="false">
      <c r="A35" s="5" t="s">
        <v>50</v>
      </c>
      <c r="B35" s="5" t="n">
        <v>2024</v>
      </c>
      <c r="C35" s="5" t="n">
        <v>2</v>
      </c>
      <c r="D35" s="6" t="n">
        <v>1029</v>
      </c>
      <c r="E35" s="6" t="n">
        <v>1032</v>
      </c>
      <c r="F35" s="6" t="n">
        <v>3</v>
      </c>
      <c r="G35" s="7" t="n">
        <v>25</v>
      </c>
      <c r="H35" s="7" t="n">
        <v>20</v>
      </c>
      <c r="I35" s="8" t="n">
        <v>4.9</v>
      </c>
      <c r="J35" s="7" t="n">
        <v>14.7</v>
      </c>
      <c r="K35" s="7" t="n">
        <v>0</v>
      </c>
      <c r="L35" s="7" t="n">
        <v>0</v>
      </c>
      <c r="M35" s="7" t="n">
        <v>59.7</v>
      </c>
      <c r="N35" s="9" t="n">
        <f aca="false">G35+H35+J35+K35+L35</f>
        <v>59.7</v>
      </c>
      <c r="O35" s="9" t="n">
        <f aca="false">ROUND(N35-M35,2)</f>
        <v>0</v>
      </c>
      <c r="P35" s="9" t="n">
        <f aca="false">IF(F35=0,"",M35/F35)</f>
        <v>19.9</v>
      </c>
      <c r="Q35" s="9" t="n">
        <f aca="false">IF(A35&lt;"2024-02",H35,25+H35)</f>
        <v>45</v>
      </c>
      <c r="R35" s="9" t="n">
        <f aca="false">M35-Q35</f>
        <v>14.7</v>
      </c>
    </row>
    <row r="36" customFormat="false" ht="15" hidden="false" customHeight="true" outlineLevel="0" collapsed="false">
      <c r="A36" s="5" t="s">
        <v>51</v>
      </c>
      <c r="B36" s="5" t="n">
        <v>2024</v>
      </c>
      <c r="C36" s="5" t="n">
        <v>3</v>
      </c>
      <c r="D36" s="6" t="n">
        <v>1032</v>
      </c>
      <c r="E36" s="6" t="n">
        <v>1040</v>
      </c>
      <c r="F36" s="6" t="n">
        <v>8</v>
      </c>
      <c r="G36" s="7" t="n">
        <v>25</v>
      </c>
      <c r="H36" s="7" t="n">
        <v>20</v>
      </c>
      <c r="I36" s="8" t="n">
        <v>4.9</v>
      </c>
      <c r="J36" s="7" t="n">
        <v>39.2</v>
      </c>
      <c r="K36" s="7" t="n">
        <v>0</v>
      </c>
      <c r="L36" s="7" t="n">
        <v>0</v>
      </c>
      <c r="M36" s="7" t="n">
        <v>84.2</v>
      </c>
      <c r="N36" s="9" t="n">
        <f aca="false">G36+H36+J36+K36+L36</f>
        <v>84.2</v>
      </c>
      <c r="O36" s="9" t="n">
        <f aca="false">ROUND(N36-M36,2)</f>
        <v>0</v>
      </c>
      <c r="P36" s="9" t="n">
        <f aca="false">IF(F36=0,"",M36/F36)</f>
        <v>10.525</v>
      </c>
      <c r="Q36" s="9" t="n">
        <f aca="false">IF(A36&lt;"2024-02",H36,25+H36)</f>
        <v>45</v>
      </c>
      <c r="R36" s="9" t="n">
        <f aca="false">M36-Q36</f>
        <v>39.2</v>
      </c>
    </row>
    <row r="37" customFormat="false" ht="15" hidden="false" customHeight="true" outlineLevel="0" collapsed="false">
      <c r="A37" s="5" t="s">
        <v>52</v>
      </c>
      <c r="B37" s="5" t="n">
        <v>2024</v>
      </c>
      <c r="C37" s="5" t="n">
        <v>4</v>
      </c>
      <c r="D37" s="6" t="n">
        <v>1040</v>
      </c>
      <c r="E37" s="6" t="n">
        <v>1046</v>
      </c>
      <c r="F37" s="6" t="n">
        <v>6</v>
      </c>
      <c r="G37" s="7" t="n">
        <v>25</v>
      </c>
      <c r="H37" s="7" t="n">
        <v>20</v>
      </c>
      <c r="I37" s="8" t="n">
        <v>4.9</v>
      </c>
      <c r="J37" s="7" t="n">
        <v>29.4</v>
      </c>
      <c r="K37" s="7" t="n">
        <v>0</v>
      </c>
      <c r="L37" s="7" t="n">
        <v>0</v>
      </c>
      <c r="M37" s="7" t="n">
        <v>74.4</v>
      </c>
      <c r="N37" s="9" t="n">
        <f aca="false">G37+H37+J37+K37+L37</f>
        <v>74.4</v>
      </c>
      <c r="O37" s="9" t="n">
        <f aca="false">ROUND(N37-M37,2)</f>
        <v>0</v>
      </c>
      <c r="P37" s="9" t="n">
        <f aca="false">IF(F37=0,"",M37/F37)</f>
        <v>12.4</v>
      </c>
      <c r="Q37" s="9" t="n">
        <f aca="false">IF(A37&lt;"2024-02",H37,25+H37)</f>
        <v>45</v>
      </c>
      <c r="R37" s="9" t="n">
        <f aca="false">M37-Q37</f>
        <v>29.4</v>
      </c>
    </row>
    <row r="38" customFormat="false" ht="15" hidden="false" customHeight="true" outlineLevel="0" collapsed="false">
      <c r="A38" s="5" t="s">
        <v>53</v>
      </c>
      <c r="B38" s="5" t="n">
        <v>2024</v>
      </c>
      <c r="C38" s="5" t="n">
        <v>5</v>
      </c>
      <c r="D38" s="6" t="n">
        <v>1046</v>
      </c>
      <c r="E38" s="6" t="n">
        <v>1055</v>
      </c>
      <c r="F38" s="6" t="n">
        <v>9</v>
      </c>
      <c r="G38" s="7" t="n">
        <v>25</v>
      </c>
      <c r="H38" s="7" t="n">
        <v>20</v>
      </c>
      <c r="I38" s="8" t="n">
        <v>4.9</v>
      </c>
      <c r="J38" s="7" t="n">
        <v>44.1</v>
      </c>
      <c r="K38" s="7" t="n">
        <v>0</v>
      </c>
      <c r="L38" s="7" t="n">
        <v>0</v>
      </c>
      <c r="M38" s="7" t="n">
        <v>89.1</v>
      </c>
      <c r="N38" s="9" t="n">
        <f aca="false">G38+H38+J38+K38+L38</f>
        <v>89.1</v>
      </c>
      <c r="O38" s="9" t="n">
        <f aca="false">ROUND(N38-M38,2)</f>
        <v>0</v>
      </c>
      <c r="P38" s="9" t="n">
        <f aca="false">IF(F38=0,"",M38/F38)</f>
        <v>9.9</v>
      </c>
      <c r="Q38" s="9" t="n">
        <f aca="false">IF(A38&lt;"2024-02",H38,25+H38)</f>
        <v>45</v>
      </c>
      <c r="R38" s="9" t="n">
        <f aca="false">M38-Q38</f>
        <v>44.1</v>
      </c>
    </row>
    <row r="39" customFormat="false" ht="15" hidden="false" customHeight="true" outlineLevel="0" collapsed="false">
      <c r="A39" s="5" t="s">
        <v>54</v>
      </c>
      <c r="B39" s="5" t="n">
        <v>2024</v>
      </c>
      <c r="C39" s="5" t="n">
        <v>6</v>
      </c>
      <c r="D39" s="6" t="n">
        <v>1055</v>
      </c>
      <c r="E39" s="6" t="n">
        <v>1064</v>
      </c>
      <c r="F39" s="6" t="n">
        <v>9</v>
      </c>
      <c r="G39" s="7" t="n">
        <v>25</v>
      </c>
      <c r="H39" s="7" t="n">
        <v>20</v>
      </c>
      <c r="I39" s="8" t="n">
        <v>4.9</v>
      </c>
      <c r="J39" s="7" t="n">
        <v>44.1</v>
      </c>
      <c r="K39" s="7" t="n">
        <v>0</v>
      </c>
      <c r="L39" s="7" t="n">
        <v>0</v>
      </c>
      <c r="M39" s="7" t="n">
        <v>89.1</v>
      </c>
      <c r="N39" s="9" t="n">
        <f aca="false">G39+H39+J39+K39+L39</f>
        <v>89.1</v>
      </c>
      <c r="O39" s="9" t="n">
        <f aca="false">ROUND(N39-M39,2)</f>
        <v>0</v>
      </c>
      <c r="P39" s="9" t="n">
        <f aca="false">IF(F39=0,"",M39/F39)</f>
        <v>9.9</v>
      </c>
      <c r="Q39" s="9" t="n">
        <f aca="false">IF(A39&lt;"2024-02",H39,25+H39)</f>
        <v>45</v>
      </c>
      <c r="R39" s="9" t="n">
        <f aca="false">M39-Q39</f>
        <v>44.1</v>
      </c>
    </row>
    <row r="40" customFormat="false" ht="15" hidden="false" customHeight="true" outlineLevel="0" collapsed="false">
      <c r="A40" s="5" t="s">
        <v>55</v>
      </c>
      <c r="B40" s="5" t="n">
        <v>2024</v>
      </c>
      <c r="C40" s="5" t="n">
        <v>7</v>
      </c>
      <c r="D40" s="6" t="n">
        <v>1064</v>
      </c>
      <c r="E40" s="6" t="n">
        <v>1077</v>
      </c>
      <c r="F40" s="6" t="n">
        <v>13</v>
      </c>
      <c r="G40" s="7" t="n">
        <v>28</v>
      </c>
      <c r="H40" s="7" t="n">
        <v>20</v>
      </c>
      <c r="I40" s="8" t="n">
        <v>4.9</v>
      </c>
      <c r="J40" s="7" t="n">
        <v>63.7</v>
      </c>
      <c r="K40" s="7" t="n">
        <v>0</v>
      </c>
      <c r="L40" s="7" t="n">
        <v>0</v>
      </c>
      <c r="M40" s="7" t="n">
        <v>111.7</v>
      </c>
      <c r="N40" s="9" t="n">
        <f aca="false">G40+H40+J40+K40+L40</f>
        <v>111.7</v>
      </c>
      <c r="O40" s="9" t="n">
        <f aca="false">ROUND(N40-M40,2)</f>
        <v>0</v>
      </c>
      <c r="P40" s="9" t="n">
        <f aca="false">IF(F40=0,"",M40/F40)</f>
        <v>8.59230769230769</v>
      </c>
      <c r="Q40" s="9" t="n">
        <f aca="false">IF(A40&lt;"2024-02",H40,25+H40)</f>
        <v>45</v>
      </c>
      <c r="R40" s="9" t="n">
        <f aca="false">M40-Q40</f>
        <v>66.7</v>
      </c>
    </row>
    <row r="41" customFormat="false" ht="15" hidden="false" customHeight="true" outlineLevel="0" collapsed="false">
      <c r="A41" s="5" t="s">
        <v>56</v>
      </c>
      <c r="B41" s="5" t="n">
        <v>2024</v>
      </c>
      <c r="C41" s="5" t="n">
        <v>8</v>
      </c>
      <c r="D41" s="6" t="n">
        <v>1077</v>
      </c>
      <c r="E41" s="6" t="n">
        <v>1092</v>
      </c>
      <c r="F41" s="6" t="n">
        <v>15</v>
      </c>
      <c r="G41" s="7" t="n">
        <v>30</v>
      </c>
      <c r="H41" s="7" t="n">
        <v>20</v>
      </c>
      <c r="I41" s="8" t="n">
        <v>4.9</v>
      </c>
      <c r="J41" s="7" t="n">
        <v>73.5</v>
      </c>
      <c r="K41" s="7" t="n">
        <v>0</v>
      </c>
      <c r="L41" s="7" t="n">
        <v>0</v>
      </c>
      <c r="M41" s="7" t="n">
        <v>123.5</v>
      </c>
      <c r="N41" s="9" t="n">
        <f aca="false">G41+H41+J41+K41+L41</f>
        <v>123.5</v>
      </c>
      <c r="O41" s="9" t="n">
        <f aca="false">ROUND(N41-M41,2)</f>
        <v>0</v>
      </c>
      <c r="P41" s="9" t="n">
        <f aca="false">IF(F41=0,"",M41/F41)</f>
        <v>8.23333333333333</v>
      </c>
      <c r="Q41" s="9" t="n">
        <f aca="false">IF(A41&lt;"2024-02",H41,25+H41)</f>
        <v>45</v>
      </c>
      <c r="R41" s="9" t="n">
        <f aca="false">M41-Q41</f>
        <v>78.5</v>
      </c>
    </row>
    <row r="42" customFormat="false" ht="15" hidden="false" customHeight="true" outlineLevel="0" collapsed="false">
      <c r="A42" s="5" t="s">
        <v>57</v>
      </c>
      <c r="B42" s="5" t="n">
        <v>2024</v>
      </c>
      <c r="C42" s="5" t="n">
        <v>9</v>
      </c>
      <c r="D42" s="6" t="n">
        <v>1092</v>
      </c>
      <c r="E42" s="6" t="n">
        <v>1102</v>
      </c>
      <c r="F42" s="6" t="n">
        <v>10</v>
      </c>
      <c r="G42" s="7" t="n">
        <v>25</v>
      </c>
      <c r="H42" s="7" t="n">
        <v>20</v>
      </c>
      <c r="I42" s="8" t="n">
        <v>4.9</v>
      </c>
      <c r="J42" s="7" t="n">
        <v>49</v>
      </c>
      <c r="K42" s="7" t="n">
        <v>0</v>
      </c>
      <c r="L42" s="7" t="n">
        <v>0</v>
      </c>
      <c r="M42" s="7" t="n">
        <v>94</v>
      </c>
      <c r="N42" s="9" t="n">
        <f aca="false">G42+H42+J42+K42+L42</f>
        <v>94</v>
      </c>
      <c r="O42" s="9" t="n">
        <f aca="false">ROUND(N42-M42,2)</f>
        <v>0</v>
      </c>
      <c r="P42" s="9" t="n">
        <f aca="false">IF(F42=0,"",M42/F42)</f>
        <v>9.4</v>
      </c>
      <c r="Q42" s="9" t="n">
        <f aca="false">IF(A42&lt;"2024-02",H42,25+H42)</f>
        <v>45</v>
      </c>
      <c r="R42" s="9" t="n">
        <f aca="false">M42-Q42</f>
        <v>49</v>
      </c>
    </row>
    <row r="43" customFormat="false" ht="15" hidden="false" customHeight="true" outlineLevel="0" collapsed="false">
      <c r="A43" s="5" t="s">
        <v>58</v>
      </c>
      <c r="B43" s="5" t="n">
        <v>2024</v>
      </c>
      <c r="C43" s="5" t="n">
        <v>10</v>
      </c>
      <c r="D43" s="6" t="n">
        <v>1102</v>
      </c>
      <c r="E43" s="6" t="n">
        <v>1117</v>
      </c>
      <c r="F43" s="6" t="n">
        <v>15</v>
      </c>
      <c r="G43" s="7" t="n">
        <v>30</v>
      </c>
      <c r="H43" s="7" t="n">
        <v>20</v>
      </c>
      <c r="I43" s="8" t="n">
        <v>4.9</v>
      </c>
      <c r="J43" s="7" t="n">
        <v>73.5</v>
      </c>
      <c r="K43" s="7" t="n">
        <v>0</v>
      </c>
      <c r="L43" s="7" t="n">
        <v>0</v>
      </c>
      <c r="M43" s="7" t="n">
        <v>123.5</v>
      </c>
      <c r="N43" s="9" t="n">
        <f aca="false">G43+H43+J43+K43+L43</f>
        <v>123.5</v>
      </c>
      <c r="O43" s="9" t="n">
        <f aca="false">ROUND(N43-M43,2)</f>
        <v>0</v>
      </c>
      <c r="P43" s="9" t="n">
        <f aca="false">IF(F43=0,"",M43/F43)</f>
        <v>8.23333333333333</v>
      </c>
      <c r="Q43" s="9" t="n">
        <f aca="false">IF(A43&lt;"2024-02",H43,25+H43)</f>
        <v>45</v>
      </c>
      <c r="R43" s="9" t="n">
        <f aca="false">M43-Q43</f>
        <v>78.5</v>
      </c>
    </row>
    <row r="44" customFormat="false" ht="15" hidden="false" customHeight="true" outlineLevel="0" collapsed="false">
      <c r="A44" s="5" t="s">
        <v>59</v>
      </c>
      <c r="B44" s="5" t="n">
        <v>2024</v>
      </c>
      <c r="C44" s="5" t="n">
        <v>11</v>
      </c>
      <c r="D44" s="6" t="n">
        <v>1117</v>
      </c>
      <c r="E44" s="6" t="n">
        <v>1126</v>
      </c>
      <c r="F44" s="6" t="n">
        <v>9</v>
      </c>
      <c r="G44" s="7" t="n">
        <v>25</v>
      </c>
      <c r="H44" s="7" t="n">
        <v>20</v>
      </c>
      <c r="I44" s="8" t="n">
        <v>4.9</v>
      </c>
      <c r="J44" s="7" t="n">
        <v>44.1</v>
      </c>
      <c r="K44" s="7" t="n">
        <v>0</v>
      </c>
      <c r="L44" s="7" t="n">
        <v>0</v>
      </c>
      <c r="M44" s="7" t="n">
        <v>89.1</v>
      </c>
      <c r="N44" s="9" t="n">
        <f aca="false">G44+H44+J44+K44+L44</f>
        <v>89.1</v>
      </c>
      <c r="O44" s="9" t="n">
        <f aca="false">ROUND(N44-M44,2)</f>
        <v>0</v>
      </c>
      <c r="P44" s="9" t="n">
        <f aca="false">IF(F44=0,"",M44/F44)</f>
        <v>9.9</v>
      </c>
      <c r="Q44" s="9" t="n">
        <f aca="false">IF(A44&lt;"2024-02",H44,25+H44)</f>
        <v>45</v>
      </c>
      <c r="R44" s="9" t="n">
        <f aca="false">M44-Q44</f>
        <v>44.1</v>
      </c>
    </row>
    <row r="45" customFormat="false" ht="15" hidden="false" customHeight="true" outlineLevel="0" collapsed="false">
      <c r="A45" s="5" t="s">
        <v>60</v>
      </c>
      <c r="B45" s="5" t="n">
        <v>2024</v>
      </c>
      <c r="C45" s="5" t="n">
        <v>12</v>
      </c>
      <c r="D45" s="6" t="n">
        <v>1126</v>
      </c>
      <c r="E45" s="6" t="n">
        <v>1131</v>
      </c>
      <c r="F45" s="6" t="n">
        <v>5</v>
      </c>
      <c r="G45" s="7" t="n">
        <v>25</v>
      </c>
      <c r="H45" s="7" t="n">
        <v>20</v>
      </c>
      <c r="I45" s="8" t="n">
        <v>4.9</v>
      </c>
      <c r="J45" s="7" t="n">
        <v>24.5</v>
      </c>
      <c r="K45" s="7" t="n">
        <v>0</v>
      </c>
      <c r="L45" s="7" t="n">
        <v>0</v>
      </c>
      <c r="M45" s="7" t="n">
        <v>69.5</v>
      </c>
      <c r="N45" s="9" t="n">
        <f aca="false">G45+H45+J45+K45+L45</f>
        <v>69.5</v>
      </c>
      <c r="O45" s="9" t="n">
        <f aca="false">ROUND(N45-M45,2)</f>
        <v>0</v>
      </c>
      <c r="P45" s="9" t="n">
        <f aca="false">IF(F45=0,"",M45/F45)</f>
        <v>13.9</v>
      </c>
      <c r="Q45" s="9" t="n">
        <f aca="false">IF(A45&lt;"2024-02",H45,25+H45)</f>
        <v>45</v>
      </c>
      <c r="R45" s="9" t="n">
        <f aca="false">M45-Q45</f>
        <v>24.5</v>
      </c>
    </row>
    <row r="46" customFormat="false" ht="15" hidden="false" customHeight="true" outlineLevel="0" collapsed="false">
      <c r="A46" s="5" t="s">
        <v>61</v>
      </c>
      <c r="B46" s="5" t="n">
        <v>2025</v>
      </c>
      <c r="C46" s="5" t="n">
        <v>1</v>
      </c>
      <c r="D46" s="6" t="n">
        <v>1131</v>
      </c>
      <c r="E46" s="6" t="n">
        <v>1138</v>
      </c>
      <c r="F46" s="6" t="n">
        <v>7</v>
      </c>
      <c r="G46" s="7" t="n">
        <v>25</v>
      </c>
      <c r="H46" s="7" t="n">
        <v>20</v>
      </c>
      <c r="I46" s="8" t="n">
        <v>4.9</v>
      </c>
      <c r="J46" s="7" t="n">
        <v>34.3</v>
      </c>
      <c r="K46" s="7" t="n">
        <v>0</v>
      </c>
      <c r="L46" s="7" t="n">
        <v>0</v>
      </c>
      <c r="M46" s="7" t="n">
        <v>79.3</v>
      </c>
      <c r="N46" s="9" t="n">
        <f aca="false">G46+H46+J46+K46+L46</f>
        <v>79.3</v>
      </c>
      <c r="O46" s="9" t="n">
        <f aca="false">ROUND(N46-M46,2)</f>
        <v>0</v>
      </c>
      <c r="P46" s="9" t="n">
        <f aca="false">IF(F46=0,"",M46/F46)</f>
        <v>11.3285714285714</v>
      </c>
      <c r="Q46" s="9" t="n">
        <f aca="false">IF(A46&lt;"2024-02",H46,25+H46)</f>
        <v>45</v>
      </c>
      <c r="R46" s="9" t="n">
        <f aca="false">M46-Q46</f>
        <v>34.3</v>
      </c>
    </row>
    <row r="47" customFormat="false" ht="15" hidden="false" customHeight="true" outlineLevel="0" collapsed="false">
      <c r="A47" s="5" t="s">
        <v>62</v>
      </c>
      <c r="B47" s="5" t="n">
        <v>2025</v>
      </c>
      <c r="C47" s="5" t="n">
        <v>2</v>
      </c>
      <c r="D47" s="6" t="n">
        <v>1138</v>
      </c>
      <c r="E47" s="6" t="n">
        <v>1144</v>
      </c>
      <c r="F47" s="6" t="n">
        <v>6</v>
      </c>
      <c r="G47" s="7" t="n">
        <v>25</v>
      </c>
      <c r="H47" s="7" t="n">
        <v>20</v>
      </c>
      <c r="I47" s="8" t="n">
        <v>4.9</v>
      </c>
      <c r="J47" s="7" t="n">
        <v>29.4</v>
      </c>
      <c r="K47" s="7" t="n">
        <v>0</v>
      </c>
      <c r="L47" s="7" t="n">
        <v>0</v>
      </c>
      <c r="M47" s="7" t="n">
        <v>74.4</v>
      </c>
      <c r="N47" s="9" t="n">
        <f aca="false">G47+H47+J47+K47+L47</f>
        <v>74.4</v>
      </c>
      <c r="O47" s="9" t="n">
        <f aca="false">ROUND(N47-M47,2)</f>
        <v>0</v>
      </c>
      <c r="P47" s="9" t="n">
        <f aca="false">IF(F47=0,"",M47/F47)</f>
        <v>12.4</v>
      </c>
      <c r="Q47" s="9" t="n">
        <f aca="false">IF(A47&lt;"2024-02",H47,25+H47)</f>
        <v>45</v>
      </c>
      <c r="R47" s="9" t="n">
        <f aca="false">M47-Q47</f>
        <v>29.4</v>
      </c>
    </row>
    <row r="48" customFormat="false" ht="15" hidden="false" customHeight="true" outlineLevel="0" collapsed="false">
      <c r="A48" s="5" t="s">
        <v>63</v>
      </c>
      <c r="B48" s="5" t="n">
        <v>2025</v>
      </c>
      <c r="C48" s="5" t="n">
        <v>3</v>
      </c>
      <c r="D48" s="6" t="n">
        <v>1144</v>
      </c>
      <c r="E48" s="6" t="n">
        <v>1147</v>
      </c>
      <c r="F48" s="6" t="n">
        <v>3</v>
      </c>
      <c r="G48" s="7" t="n">
        <v>25</v>
      </c>
      <c r="H48" s="7" t="n">
        <v>20</v>
      </c>
      <c r="I48" s="8" t="n">
        <v>4.9</v>
      </c>
      <c r="J48" s="7" t="n">
        <v>14.7</v>
      </c>
      <c r="K48" s="7" t="n">
        <v>0</v>
      </c>
      <c r="L48" s="7" t="n">
        <v>0</v>
      </c>
      <c r="M48" s="7" t="n">
        <v>59.7</v>
      </c>
      <c r="N48" s="9" t="n">
        <f aca="false">G48+H48+J48+K48+L48</f>
        <v>59.7</v>
      </c>
      <c r="O48" s="9" t="n">
        <f aca="false">ROUND(N48-M48,2)</f>
        <v>0</v>
      </c>
      <c r="P48" s="9" t="n">
        <f aca="false">IF(F48=0,"",M48/F48)</f>
        <v>19.9</v>
      </c>
      <c r="Q48" s="9" t="n">
        <f aca="false">IF(A48&lt;"2024-02",H48,25+H48)</f>
        <v>45</v>
      </c>
      <c r="R48" s="9" t="n">
        <f aca="false">M48-Q48</f>
        <v>14.7</v>
      </c>
    </row>
    <row r="49" customFormat="false" ht="15" hidden="false" customHeight="true" outlineLevel="0" collapsed="false">
      <c r="A49" s="5" t="s">
        <v>64</v>
      </c>
      <c r="B49" s="5" t="n">
        <v>2025</v>
      </c>
      <c r="C49" s="5" t="n">
        <v>4</v>
      </c>
      <c r="D49" s="6" t="n">
        <v>1147</v>
      </c>
      <c r="E49" s="6" t="n">
        <v>1159</v>
      </c>
      <c r="F49" s="6" t="n">
        <v>12</v>
      </c>
      <c r="G49" s="7" t="n">
        <v>27</v>
      </c>
      <c r="H49" s="7" t="n">
        <v>20</v>
      </c>
      <c r="I49" s="8" t="n">
        <v>4.9</v>
      </c>
      <c r="J49" s="7" t="n">
        <v>58.8</v>
      </c>
      <c r="K49" s="7" t="n">
        <v>0</v>
      </c>
      <c r="L49" s="7" t="n">
        <v>0</v>
      </c>
      <c r="M49" s="7" t="n">
        <v>105.8</v>
      </c>
      <c r="N49" s="9" t="n">
        <f aca="false">G49+H49+J49+K49+L49</f>
        <v>105.8</v>
      </c>
      <c r="O49" s="9" t="n">
        <f aca="false">ROUND(N49-M49,2)</f>
        <v>0</v>
      </c>
      <c r="P49" s="9" t="n">
        <f aca="false">IF(F49=0,"",M49/F49)</f>
        <v>8.81666666666667</v>
      </c>
      <c r="Q49" s="9" t="n">
        <f aca="false">IF(A49&lt;"2024-02",H49,25+H49)</f>
        <v>45</v>
      </c>
      <c r="R49" s="9" t="n">
        <f aca="false">M49-Q49</f>
        <v>60.8</v>
      </c>
    </row>
    <row r="50" customFormat="false" ht="15" hidden="false" customHeight="true" outlineLevel="0" collapsed="false">
      <c r="A50" s="5" t="s">
        <v>65</v>
      </c>
      <c r="B50" s="5" t="n">
        <v>2025</v>
      </c>
      <c r="C50" s="5" t="n">
        <v>5</v>
      </c>
      <c r="D50" s="6" t="n">
        <v>1159</v>
      </c>
      <c r="E50" s="6" t="n">
        <v>1169</v>
      </c>
      <c r="F50" s="6" t="n">
        <v>10</v>
      </c>
      <c r="G50" s="7" t="n">
        <v>25</v>
      </c>
      <c r="H50" s="7" t="n">
        <v>20</v>
      </c>
      <c r="I50" s="8" t="n">
        <v>4.9</v>
      </c>
      <c r="J50" s="7" t="n">
        <v>49</v>
      </c>
      <c r="K50" s="7" t="n">
        <v>0</v>
      </c>
      <c r="L50" s="7" t="n">
        <v>0</v>
      </c>
      <c r="M50" s="7" t="n">
        <v>94</v>
      </c>
      <c r="N50" s="9" t="n">
        <f aca="false">G50+H50+J50+K50+L50</f>
        <v>94</v>
      </c>
      <c r="O50" s="9" t="n">
        <f aca="false">ROUND(N50-M50,2)</f>
        <v>0</v>
      </c>
      <c r="P50" s="9" t="n">
        <f aca="false">IF(F50=0,"",M50/F50)</f>
        <v>9.4</v>
      </c>
      <c r="Q50" s="9" t="n">
        <f aca="false">IF(A50&lt;"2024-02",H50,25+H50)</f>
        <v>45</v>
      </c>
      <c r="R50" s="9" t="n">
        <f aca="false">M50-Q50</f>
        <v>49</v>
      </c>
    </row>
    <row r="51" customFormat="false" ht="15" hidden="false" customHeight="true" outlineLevel="0" collapsed="false">
      <c r="A51" s="5" t="s">
        <v>66</v>
      </c>
      <c r="B51" s="5" t="n">
        <v>2025</v>
      </c>
      <c r="C51" s="5" t="n">
        <v>6</v>
      </c>
      <c r="D51" s="6" t="n">
        <v>1169</v>
      </c>
      <c r="E51" s="6" t="n">
        <v>1185</v>
      </c>
      <c r="F51" s="6" t="n">
        <v>16</v>
      </c>
      <c r="G51" s="7" t="n">
        <v>31</v>
      </c>
      <c r="H51" s="7" t="n">
        <v>20</v>
      </c>
      <c r="I51" s="8" t="n">
        <v>4.9</v>
      </c>
      <c r="J51" s="7" t="n">
        <v>78.4</v>
      </c>
      <c r="K51" s="7" t="n">
        <v>0</v>
      </c>
      <c r="L51" s="7" t="n">
        <v>0</v>
      </c>
      <c r="M51" s="7" t="n">
        <v>129.4</v>
      </c>
      <c r="N51" s="9" t="n">
        <f aca="false">G51+H51+J51+K51+L51</f>
        <v>129.4</v>
      </c>
      <c r="O51" s="9" t="n">
        <f aca="false">ROUND(N51-M51,2)</f>
        <v>0</v>
      </c>
      <c r="P51" s="9" t="n">
        <f aca="false">IF(F51=0,"",M51/F51)</f>
        <v>8.0875</v>
      </c>
      <c r="Q51" s="9" t="n">
        <f aca="false">IF(A51&lt;"2024-02",H51,25+H51)</f>
        <v>45</v>
      </c>
      <c r="R51" s="9" t="n">
        <f aca="false">M51-Q51</f>
        <v>84.4</v>
      </c>
    </row>
    <row r="52" customFormat="false" ht="15" hidden="false" customHeight="true" outlineLevel="0" collapsed="false">
      <c r="A52" s="5" t="s">
        <v>67</v>
      </c>
      <c r="B52" s="5" t="n">
        <v>2025</v>
      </c>
      <c r="C52" s="5" t="n">
        <v>7</v>
      </c>
      <c r="D52" s="6" t="n">
        <v>1185</v>
      </c>
      <c r="E52" s="6" t="n">
        <v>1192</v>
      </c>
      <c r="F52" s="6" t="n">
        <v>7</v>
      </c>
      <c r="G52" s="7" t="n">
        <v>25</v>
      </c>
      <c r="H52" s="7" t="n">
        <v>20</v>
      </c>
      <c r="I52" s="8" t="n">
        <v>4.9</v>
      </c>
      <c r="J52" s="7" t="n">
        <v>34.3</v>
      </c>
      <c r="K52" s="7" t="n">
        <v>0</v>
      </c>
      <c r="L52" s="7" t="n">
        <v>0</v>
      </c>
      <c r="M52" s="7" t="n">
        <v>79.3</v>
      </c>
      <c r="N52" s="9" t="n">
        <f aca="false">G52+H52+J52+K52+L52</f>
        <v>79.3</v>
      </c>
      <c r="O52" s="9" t="n">
        <f aca="false">ROUND(N52-M52,2)</f>
        <v>0</v>
      </c>
      <c r="P52" s="9" t="n">
        <f aca="false">IF(F52=0,"",M52/F52)</f>
        <v>11.3285714285714</v>
      </c>
      <c r="Q52" s="9" t="n">
        <f aca="false">IF(A52&lt;"2024-02",H52,25+H52)</f>
        <v>45</v>
      </c>
      <c r="R52" s="9" t="n">
        <f aca="false">M52-Q52</f>
        <v>34.3</v>
      </c>
    </row>
    <row r="53" customFormat="false" ht="15" hidden="false" customHeight="true" outlineLevel="0" collapsed="false">
      <c r="A53" s="5" t="s">
        <v>68</v>
      </c>
      <c r="B53" s="5" t="n">
        <v>2025</v>
      </c>
      <c r="C53" s="5" t="n">
        <v>8</v>
      </c>
      <c r="D53" s="6" t="n">
        <v>1192</v>
      </c>
      <c r="E53" s="6" t="n">
        <v>1210</v>
      </c>
      <c r="F53" s="6" t="n">
        <v>18</v>
      </c>
      <c r="G53" s="7" t="n">
        <v>33</v>
      </c>
      <c r="H53" s="7" t="n">
        <v>20</v>
      </c>
      <c r="I53" s="8" t="n">
        <v>4.9</v>
      </c>
      <c r="J53" s="7" t="n">
        <v>88.2</v>
      </c>
      <c r="K53" s="7" t="n">
        <v>0</v>
      </c>
      <c r="L53" s="7" t="n">
        <v>0</v>
      </c>
      <c r="M53" s="7" t="n">
        <v>141.2</v>
      </c>
      <c r="N53" s="9" t="n">
        <f aca="false">G53+H53+J53+K53+L53</f>
        <v>141.2</v>
      </c>
      <c r="O53" s="9" t="n">
        <f aca="false">ROUND(N53-M53,2)</f>
        <v>0</v>
      </c>
      <c r="P53" s="9" t="n">
        <f aca="false">IF(F53=0,"",M53/F53)</f>
        <v>7.84444444444444</v>
      </c>
      <c r="Q53" s="9" t="n">
        <f aca="false">IF(A53&lt;"2024-02",H53,25+H53)</f>
        <v>45</v>
      </c>
      <c r="R53" s="9" t="n">
        <f aca="false">M53-Q53</f>
        <v>96.2</v>
      </c>
    </row>
    <row r="54" customFormat="false" ht="15" hidden="false" customHeight="true" outlineLevel="0" collapsed="false">
      <c r="A54" s="5" t="s">
        <v>69</v>
      </c>
      <c r="B54" s="5" t="n">
        <v>2025</v>
      </c>
      <c r="C54" s="5" t="n">
        <v>9</v>
      </c>
      <c r="D54" s="6" t="n">
        <v>1210</v>
      </c>
      <c r="E54" s="6" t="n">
        <v>1221</v>
      </c>
      <c r="F54" s="6" t="n">
        <v>11</v>
      </c>
      <c r="G54" s="7" t="n">
        <v>26</v>
      </c>
      <c r="H54" s="7" t="n">
        <v>20</v>
      </c>
      <c r="I54" s="8" t="n">
        <v>4.9</v>
      </c>
      <c r="J54" s="7" t="n">
        <v>53.9</v>
      </c>
      <c r="K54" s="7" t="n">
        <v>0</v>
      </c>
      <c r="L54" s="7" t="n">
        <v>0</v>
      </c>
      <c r="M54" s="7" t="n">
        <v>99.9</v>
      </c>
      <c r="N54" s="9" t="n">
        <f aca="false">G54+H54+J54+K54+L54</f>
        <v>99.9</v>
      </c>
      <c r="O54" s="9" t="n">
        <f aca="false">ROUND(N54-M54,2)</f>
        <v>0</v>
      </c>
      <c r="P54" s="9" t="n">
        <f aca="false">IF(F54=0,"",M54/F54)</f>
        <v>9.08181818181818</v>
      </c>
      <c r="Q54" s="9" t="n">
        <f aca="false">IF(A54&lt;"2024-02",H54,25+H54)</f>
        <v>45</v>
      </c>
      <c r="R54" s="9" t="n">
        <f aca="false">M54-Q54</f>
        <v>54.9</v>
      </c>
    </row>
    <row r="55" customFormat="false" ht="15" hidden="false" customHeight="true" outlineLevel="0" collapsed="false">
      <c r="A55" s="5" t="s">
        <v>70</v>
      </c>
      <c r="B55" s="5" t="n">
        <v>2025</v>
      </c>
      <c r="C55" s="5" t="n">
        <v>10</v>
      </c>
      <c r="D55" s="6" t="n">
        <v>1221</v>
      </c>
      <c r="E55" s="6" t="n">
        <v>1234</v>
      </c>
      <c r="F55" s="6" t="n">
        <v>13</v>
      </c>
      <c r="G55" s="7" t="n">
        <v>28</v>
      </c>
      <c r="H55" s="7" t="n">
        <v>20</v>
      </c>
      <c r="I55" s="8" t="n">
        <v>4.9</v>
      </c>
      <c r="J55" s="7" t="n">
        <v>63.7</v>
      </c>
      <c r="K55" s="7" t="n">
        <v>0</v>
      </c>
      <c r="L55" s="7" t="n">
        <v>0</v>
      </c>
      <c r="M55" s="7" t="n">
        <v>111.7</v>
      </c>
      <c r="N55" s="9" t="n">
        <f aca="false">G55+H55+J55+K55+L55</f>
        <v>111.7</v>
      </c>
      <c r="O55" s="9" t="n">
        <f aca="false">ROUND(N55-M55,2)</f>
        <v>0</v>
      </c>
      <c r="P55" s="9" t="n">
        <f aca="false">IF(F55=0,"",M55/F55)</f>
        <v>8.59230769230769</v>
      </c>
      <c r="Q55" s="9" t="n">
        <f aca="false">IF(A55&lt;"2024-02",H55,25+H55)</f>
        <v>45</v>
      </c>
      <c r="R55" s="9" t="n">
        <f aca="false">M55-Q55</f>
        <v>66.7</v>
      </c>
    </row>
    <row r="56" customFormat="false" ht="15" hidden="false" customHeight="true" outlineLevel="0" collapsed="false">
      <c r="A56" s="5" t="s">
        <v>71</v>
      </c>
      <c r="B56" s="5" t="n">
        <v>2025</v>
      </c>
      <c r="C56" s="5" t="n">
        <v>11</v>
      </c>
      <c r="D56" s="6" t="n">
        <v>1234</v>
      </c>
      <c r="E56" s="6" t="n">
        <v>1246</v>
      </c>
      <c r="F56" s="6" t="n">
        <v>12</v>
      </c>
      <c r="G56" s="7" t="n">
        <v>27</v>
      </c>
      <c r="H56" s="7" t="n">
        <v>20</v>
      </c>
      <c r="I56" s="8" t="n">
        <v>4.9</v>
      </c>
      <c r="J56" s="7" t="n">
        <v>58.8</v>
      </c>
      <c r="K56" s="7" t="n">
        <v>0</v>
      </c>
      <c r="L56" s="7" t="n">
        <v>0</v>
      </c>
      <c r="M56" s="7" t="n">
        <v>105.8</v>
      </c>
      <c r="N56" s="9" t="n">
        <f aca="false">G56+H56+J56+K56+L56</f>
        <v>105.8</v>
      </c>
      <c r="O56" s="9" t="n">
        <f aca="false">ROUND(N56-M56,2)</f>
        <v>0</v>
      </c>
      <c r="P56" s="9" t="n">
        <f aca="false">IF(F56=0,"",M56/F56)</f>
        <v>8.81666666666667</v>
      </c>
      <c r="Q56" s="9" t="n">
        <f aca="false">IF(A56&lt;"2024-02",H56,25+H56)</f>
        <v>45</v>
      </c>
      <c r="R56" s="9" t="n">
        <f aca="false">M56-Q56</f>
        <v>60.8</v>
      </c>
    </row>
    <row r="57" customFormat="false" ht="15" hidden="false" customHeight="true" outlineLevel="0" collapsed="false">
      <c r="A57" s="5" t="s">
        <v>72</v>
      </c>
      <c r="B57" s="5" t="n">
        <v>2025</v>
      </c>
      <c r="C57" s="5" t="n">
        <v>12</v>
      </c>
      <c r="D57" s="6" t="n">
        <v>1246</v>
      </c>
      <c r="E57" s="6" t="n">
        <v>1253</v>
      </c>
      <c r="F57" s="6" t="n">
        <v>7</v>
      </c>
      <c r="G57" s="7" t="n">
        <v>25</v>
      </c>
      <c r="H57" s="7" t="n">
        <v>20</v>
      </c>
      <c r="I57" s="8" t="n">
        <v>4.9</v>
      </c>
      <c r="J57" s="7" t="n">
        <v>34.3</v>
      </c>
      <c r="K57" s="7" t="n">
        <v>0</v>
      </c>
      <c r="L57" s="7" t="n">
        <v>0</v>
      </c>
      <c r="M57" s="7" t="n">
        <v>79.3</v>
      </c>
      <c r="N57" s="9" t="n">
        <f aca="false">G57+H57+J57+K57+L57</f>
        <v>79.3</v>
      </c>
      <c r="O57" s="9" t="n">
        <f aca="false">ROUND(N57-M57,2)</f>
        <v>0</v>
      </c>
      <c r="P57" s="9" t="n">
        <f aca="false">IF(F57=0,"",M57/F57)</f>
        <v>11.3285714285714</v>
      </c>
      <c r="Q57" s="9" t="n">
        <f aca="false">IF(A57&lt;"2024-02",H57,25+H57)</f>
        <v>45</v>
      </c>
      <c r="R57" s="9" t="n">
        <f aca="false">M57-Q57</f>
        <v>34.3</v>
      </c>
    </row>
    <row r="58" customFormat="false" ht="15" hidden="false" customHeight="true" outlineLevel="0" collapsed="false">
      <c r="A58" s="5" t="s">
        <v>73</v>
      </c>
      <c r="B58" s="5" t="n">
        <v>2026</v>
      </c>
      <c r="C58" s="5" t="n">
        <v>1</v>
      </c>
      <c r="D58" s="6" t="n">
        <v>1253</v>
      </c>
      <c r="E58" s="6" t="n">
        <v>1268</v>
      </c>
      <c r="F58" s="6" t="n">
        <v>15</v>
      </c>
      <c r="G58" s="7" t="n">
        <v>30</v>
      </c>
      <c r="H58" s="7" t="n">
        <v>20</v>
      </c>
      <c r="I58" s="8" t="n">
        <v>4.9</v>
      </c>
      <c r="J58" s="7" t="n">
        <v>73.5</v>
      </c>
      <c r="K58" s="7" t="n">
        <v>0</v>
      </c>
      <c r="L58" s="7" t="n">
        <v>0</v>
      </c>
      <c r="M58" s="7" t="n">
        <v>123.5</v>
      </c>
      <c r="N58" s="9" t="n">
        <f aca="false">G58+H58+J58+K58+L58</f>
        <v>123.5</v>
      </c>
      <c r="O58" s="9" t="n">
        <f aca="false">ROUND(N58-M58,2)</f>
        <v>0</v>
      </c>
      <c r="P58" s="9" t="n">
        <f aca="false">IF(F58=0,"",M58/F58)</f>
        <v>8.23333333333333</v>
      </c>
      <c r="Q58" s="9" t="n">
        <f aca="false">IF(A58&lt;"2024-02",H58,25+H58)</f>
        <v>45</v>
      </c>
      <c r="R58" s="9" t="n">
        <f aca="false">M58-Q58</f>
        <v>78.5</v>
      </c>
    </row>
    <row r="59" customFormat="false" ht="15" hidden="false" customHeight="true" outlineLevel="0" collapsed="false">
      <c r="A59" s="5" t="s">
        <v>74</v>
      </c>
      <c r="B59" s="5" t="n">
        <v>2026</v>
      </c>
      <c r="C59" s="5" t="n">
        <v>2</v>
      </c>
      <c r="D59" s="6" t="n">
        <v>1268</v>
      </c>
      <c r="E59" s="6" t="n">
        <v>1279</v>
      </c>
      <c r="F59" s="6" t="n">
        <v>11</v>
      </c>
      <c r="G59" s="7" t="n">
        <v>26</v>
      </c>
      <c r="H59" s="7" t="n">
        <v>20</v>
      </c>
      <c r="I59" s="8" t="n">
        <v>4.9</v>
      </c>
      <c r="J59" s="7" t="n">
        <v>53.9</v>
      </c>
      <c r="K59" s="7" t="n">
        <v>0</v>
      </c>
      <c r="L59" s="7" t="n">
        <v>0</v>
      </c>
      <c r="M59" s="7" t="n">
        <v>99.9</v>
      </c>
      <c r="N59" s="9" t="n">
        <f aca="false">G59+H59+J59+K59+L59</f>
        <v>99.9</v>
      </c>
      <c r="O59" s="9" t="n">
        <f aca="false">ROUND(N59-M59,2)</f>
        <v>0</v>
      </c>
      <c r="P59" s="9" t="n">
        <f aca="false">IF(F59=0,"",M59/F59)</f>
        <v>9.08181818181818</v>
      </c>
      <c r="Q59" s="9" t="n">
        <f aca="false">IF(A59&lt;"2024-02",H59,25+H59)</f>
        <v>45</v>
      </c>
      <c r="R59" s="9" t="n">
        <f aca="false">M59-Q59</f>
        <v>54.9</v>
      </c>
    </row>
    <row r="60" customFormat="false" ht="15" hidden="false" customHeight="true" outlineLevel="0" collapsed="false">
      <c r="A60" s="5" t="s">
        <v>75</v>
      </c>
      <c r="B60" s="5" t="n">
        <v>2026</v>
      </c>
      <c r="C60" s="5" t="n">
        <v>3</v>
      </c>
      <c r="D60" s="6" t="n">
        <v>1279</v>
      </c>
      <c r="E60" s="6" t="n">
        <v>1294</v>
      </c>
      <c r="F60" s="6" t="n">
        <v>15</v>
      </c>
      <c r="G60" s="7" t="n">
        <v>30</v>
      </c>
      <c r="H60" s="7" t="n">
        <v>20</v>
      </c>
      <c r="I60" s="8" t="n">
        <v>4.9</v>
      </c>
      <c r="J60" s="7" t="n">
        <v>73.5</v>
      </c>
      <c r="K60" s="7" t="n">
        <v>0</v>
      </c>
      <c r="L60" s="7" t="n">
        <v>0</v>
      </c>
      <c r="M60" s="7" t="n">
        <v>123.5</v>
      </c>
      <c r="N60" s="9" t="n">
        <f aca="false">G60+H60+J60+K60+L60</f>
        <v>123.5</v>
      </c>
      <c r="O60" s="9" t="n">
        <f aca="false">ROUND(N60-M60,2)</f>
        <v>0</v>
      </c>
      <c r="P60" s="9" t="n">
        <f aca="false">IF(F60=0,"",M60/F60)</f>
        <v>8.23333333333333</v>
      </c>
      <c r="Q60" s="9" t="n">
        <f aca="false">IF(A60&lt;"2024-02",H60,25+H60)</f>
        <v>45</v>
      </c>
      <c r="R60" s="9" t="n">
        <f aca="false">M60-Q60</f>
        <v>78.5</v>
      </c>
    </row>
    <row r="61" customFormat="false" ht="15" hidden="false" customHeight="true" outlineLevel="0" collapsed="false">
      <c r="A61" s="5" t="s">
        <v>76</v>
      </c>
      <c r="B61" s="5" t="n">
        <v>2026</v>
      </c>
      <c r="C61" s="5" t="n">
        <v>4</v>
      </c>
      <c r="D61" s="6" t="n">
        <v>1294</v>
      </c>
      <c r="E61" s="6" t="n">
        <v>1316</v>
      </c>
      <c r="F61" s="6" t="n">
        <v>22</v>
      </c>
      <c r="G61" s="7" t="n">
        <v>39</v>
      </c>
      <c r="H61" s="7" t="n">
        <v>20</v>
      </c>
      <c r="I61" s="8" t="n">
        <v>4.9</v>
      </c>
      <c r="J61" s="7" t="n">
        <v>107.8</v>
      </c>
      <c r="K61" s="7" t="n">
        <v>0</v>
      </c>
      <c r="L61" s="7" t="n">
        <v>0</v>
      </c>
      <c r="M61" s="7" t="n">
        <v>166.8</v>
      </c>
      <c r="N61" s="9" t="n">
        <f aca="false">G61+H61+J61+K61+L61</f>
        <v>166.8</v>
      </c>
      <c r="O61" s="9" t="n">
        <f aca="false">ROUND(N61-M61,2)</f>
        <v>0</v>
      </c>
      <c r="P61" s="9" t="n">
        <f aca="false">IF(F61=0,"",M61/F61)</f>
        <v>7.58181818181818</v>
      </c>
      <c r="Q61" s="9" t="n">
        <f aca="false">IF(A61&lt;"2024-02",H61,25+H61)</f>
        <v>45</v>
      </c>
      <c r="R61" s="9" t="n">
        <f aca="false">M61-Q61</f>
        <v>121.8</v>
      </c>
    </row>
    <row r="62" customFormat="false" ht="15" hidden="false" customHeight="true" outlineLevel="0" collapsed="false">
      <c r="A62" s="5" t="s">
        <v>77</v>
      </c>
      <c r="B62" s="5" t="n">
        <v>2026</v>
      </c>
      <c r="C62" s="5" t="n">
        <v>5</v>
      </c>
      <c r="D62" s="6" t="n">
        <v>1316</v>
      </c>
      <c r="E62" s="6" t="n">
        <v>1338</v>
      </c>
      <c r="F62" s="6" t="n">
        <v>22</v>
      </c>
      <c r="G62" s="7" t="n">
        <v>39</v>
      </c>
      <c r="H62" s="7" t="n">
        <v>20</v>
      </c>
      <c r="I62" s="8" t="n">
        <v>4.9</v>
      </c>
      <c r="J62" s="7" t="n">
        <v>107.8</v>
      </c>
      <c r="K62" s="7" t="n">
        <v>0</v>
      </c>
      <c r="L62" s="7" t="n">
        <v>0</v>
      </c>
      <c r="M62" s="7" t="n">
        <v>166.8</v>
      </c>
      <c r="N62" s="9" t="n">
        <f aca="false">G62+H62+J62+K62+L62</f>
        <v>166.8</v>
      </c>
      <c r="O62" s="9" t="n">
        <f aca="false">ROUND(N62-M62,2)</f>
        <v>0</v>
      </c>
      <c r="P62" s="9" t="n">
        <f aca="false">IF(F62=0,"",M62/F62)</f>
        <v>7.58181818181818</v>
      </c>
      <c r="Q62" s="9" t="n">
        <f aca="false">IF(A62&lt;"2024-02",H62,25+H62)</f>
        <v>45</v>
      </c>
      <c r="R62" s="9" t="n">
        <f aca="false">M62-Q62</f>
        <v>121.8</v>
      </c>
    </row>
    <row r="63" customFormat="false" ht="15" hidden="false" customHeight="true" outlineLevel="0" collapsed="false">
      <c r="A63" s="5" t="s">
        <v>78</v>
      </c>
      <c r="B63" s="5" t="n">
        <v>2026</v>
      </c>
      <c r="C63" s="5" t="n">
        <v>6</v>
      </c>
      <c r="D63" s="6" t="n">
        <v>1338</v>
      </c>
      <c r="E63" s="6" t="n">
        <v>1363</v>
      </c>
      <c r="F63" s="6" t="n">
        <v>25</v>
      </c>
      <c r="G63" s="7" t="n">
        <v>45</v>
      </c>
      <c r="H63" s="7" t="n">
        <v>20</v>
      </c>
      <c r="I63" s="8" t="n">
        <v>4.9</v>
      </c>
      <c r="J63" s="7" t="n">
        <v>122.5</v>
      </c>
      <c r="K63" s="7" t="n">
        <v>0</v>
      </c>
      <c r="L63" s="7" t="n">
        <v>0</v>
      </c>
      <c r="M63" s="7" t="n">
        <v>187.5</v>
      </c>
      <c r="N63" s="9" t="n">
        <f aca="false">G63+H63+J63+K63+L63</f>
        <v>187.5</v>
      </c>
      <c r="O63" s="9" t="n">
        <f aca="false">ROUND(N63-M63,2)</f>
        <v>0</v>
      </c>
      <c r="P63" s="9" t="n">
        <f aca="false">IF(F63=0,"",M63/F63)</f>
        <v>7.5</v>
      </c>
      <c r="Q63" s="9" t="n">
        <f aca="false">IF(A63&lt;"2024-02",H63,25+H63)</f>
        <v>45</v>
      </c>
      <c r="R63" s="9" t="n">
        <f aca="false">M63-Q63</f>
        <v>142.5</v>
      </c>
    </row>
    <row r="64" customFormat="false" ht="15" hidden="false" customHeight="true" outlineLevel="0" collapsed="false">
      <c r="A64" s="5" t="s">
        <v>79</v>
      </c>
      <c r="B64" s="5" t="n">
        <v>2026</v>
      </c>
      <c r="C64" s="5" t="n">
        <v>7</v>
      </c>
      <c r="D64" s="6" t="n">
        <v>1363</v>
      </c>
      <c r="E64" s="6" t="n">
        <v>1387</v>
      </c>
      <c r="F64" s="6" t="n">
        <v>24</v>
      </c>
      <c r="G64" s="7" t="n">
        <v>43</v>
      </c>
      <c r="H64" s="7" t="n">
        <v>20</v>
      </c>
      <c r="I64" s="8" t="n">
        <v>4.9</v>
      </c>
      <c r="J64" s="7" t="n">
        <v>117.6</v>
      </c>
      <c r="K64" s="7" t="n">
        <v>0</v>
      </c>
      <c r="L64" s="7" t="n">
        <v>0</v>
      </c>
      <c r="M64" s="7" t="n">
        <v>180.6</v>
      </c>
      <c r="N64" s="9" t="n">
        <f aca="false">G64+H64+J64+K64+L64</f>
        <v>180.6</v>
      </c>
      <c r="O64" s="9" t="n">
        <f aca="false">ROUND(N64-M64,2)</f>
        <v>0</v>
      </c>
      <c r="P64" s="9" t="n">
        <f aca="false">IF(F64=0,"",M64/F64)</f>
        <v>7.525</v>
      </c>
      <c r="Q64" s="9" t="n">
        <f aca="false">IF(A64&lt;"2024-02",H64,25+H64)</f>
        <v>45</v>
      </c>
      <c r="R64" s="9" t="n">
        <f aca="false">M64-Q64</f>
        <v>135.6</v>
      </c>
    </row>
    <row r="65" customFormat="false" ht="15" hidden="false" customHeight="true" outlineLevel="0" collapsed="false">
      <c r="A65" s="10" t="s">
        <v>80</v>
      </c>
      <c r="F65" s="11" t="n">
        <f aca="false">SUM(F5:F64)</f>
        <v>640</v>
      </c>
      <c r="G65" s="12" t="n">
        <f aca="false">SUM(G5:G64)</f>
        <v>1004</v>
      </c>
      <c r="H65" s="12" t="n">
        <f aca="false">SUM(H5:H64)</f>
        <v>893.33</v>
      </c>
      <c r="J65" s="12" t="n">
        <f aca="false">SUM(J5:J64)</f>
        <v>3109.9</v>
      </c>
      <c r="K65" s="12" t="n">
        <f aca="false">SUM(K5:K64)</f>
        <v>-454</v>
      </c>
      <c r="L65" s="12" t="n">
        <f aca="false">SUM(L5:L64)</f>
        <v>180</v>
      </c>
      <c r="M65" s="12" t="n">
        <f aca="false">SUM(M5:M64)</f>
        <v>4733.23</v>
      </c>
      <c r="P65" s="12" t="n">
        <f aca="false">M65/F65</f>
        <v>7.395671875</v>
      </c>
    </row>
    <row r="67" customFormat="false" ht="15" hidden="false" customHeight="true" outlineLevel="0" collapsed="false">
      <c r="A67" s="13" t="s">
        <v>81</v>
      </c>
    </row>
    <row r="68" customFormat="false" ht="15" hidden="false" customHeight="true" outlineLevel="0" collapsed="false">
      <c r="A68" s="13" t="s">
        <v>82</v>
      </c>
    </row>
    <row r="70" customFormat="false" ht="15" hidden="false" customHeight="true" outlineLevel="0" collapsed="false">
      <c r="A70" s="3" t="s">
        <v>83</v>
      </c>
    </row>
    <row r="71" customFormat="false" ht="15" hidden="false" customHeight="true" outlineLevel="0" collapsed="false">
      <c r="A71" s="3" t="s">
        <v>84</v>
      </c>
    </row>
    <row r="73" customFormat="false" ht="15" hidden="false" customHeight="true" outlineLevel="0" collapsed="false">
      <c r="A73" s="3" t="s">
        <v>85</v>
      </c>
    </row>
  </sheetData>
  <conditionalFormatting sqref="F5:F64">
    <cfRule type="dataBar" priority="2">
      <dataBar showValue="1" minLength="10" maxLength="90">
        <cfvo type="num" val="0"/>
        <cfvo type="num" val="26"/>
        <color rgb="FF2E75B6"/>
      </dataBar>
      <extLst>
        <ext xmlns:x14="http://schemas.microsoft.com/office/spreadsheetml/2009/9/main" uri="{B025F937-C7B1-47D3-B67F-A62EFF666E3E}">
          <x14:id>{A08CC02E-89C0-4A50-9A80-76D67D151F6F}</x14:id>
        </ext>
      </extLst>
    </cfRule>
  </conditionalFormatting>
  <conditionalFormatting sqref="M5:M64">
    <cfRule type="dataBar" priority="3">
      <dataBar showValue="1" minLength="10" maxLength="90">
        <cfvo type="num" val="0"/>
        <cfvo type="num" val="200"/>
        <color rgb="FFC00000"/>
      </dataBar>
      <extLst>
        <ext xmlns:x14="http://schemas.microsoft.com/office/spreadsheetml/2009/9/main" uri="{B025F937-C7B1-47D3-B67F-A62EFF666E3E}">
          <x14:id>{31FC1AD8-201D-42AA-A356-9497813593E5}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8CC02E-89C0-4A50-9A80-76D67D151F6F}">
            <x14:dataBar minLength="10" maxLength="90" axisPosition="none" gradient="true">
              <x14:cfvo type="num">
                <xm:f>0</xm:f>
              </x14:cfvo>
              <x14:cfvo type="num">
                <xm:f>26</xm:f>
              </x14:cfvo>
              <x14:negativeFillColor rgb="FF2E75B6"/>
              <x14:axisColor rgb="FF000000"/>
            </x14:dataBar>
          </x14:cfRule>
          <xm:sqref>F5:F64</xm:sqref>
        </x14:conditionalFormatting>
        <x14:conditionalFormatting xmlns:xm="http://schemas.microsoft.com/office/excel/2006/main">
          <x14:cfRule type="dataBar" id="{31FC1AD8-201D-42AA-A356-9497813593E5}">
            <x14:dataBar minLength="10" maxLength="90" axisPosition="none" gradient="true">
              <x14:cfvo type="num">
                <xm:f>0</xm:f>
              </x14:cfvo>
              <x14:cfvo type="num">
                <xm:f>200</xm:f>
              </x14:cfvo>
              <x14:negativeFillColor rgb="FFC00000"/>
              <x14:axisColor rgb="FF000000"/>
            </x14:dataBar>
          </x14:cfRule>
          <xm:sqref>M5:M64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1" width="14"/>
    <col collapsed="false" customWidth="true" hidden="false" outlineLevel="0" max="6" min="5" style="1" width="16"/>
    <col collapsed="false" customWidth="true" hidden="false" outlineLevel="0" max="10" min="7" style="1" width="14"/>
  </cols>
  <sheetData>
    <row r="1" customFormat="false" ht="17.25" hidden="false" customHeight="true" outlineLevel="0" collapsed="false">
      <c r="A1" s="2" t="s">
        <v>86</v>
      </c>
    </row>
    <row r="3" customFormat="false" ht="27.75" hidden="false" customHeight="true" outlineLevel="0" collapsed="false">
      <c r="A3" s="14" t="s">
        <v>3</v>
      </c>
      <c r="B3" s="14" t="s">
        <v>87</v>
      </c>
      <c r="C3" s="14" t="s">
        <v>7</v>
      </c>
      <c r="D3" s="14" t="s">
        <v>88</v>
      </c>
      <c r="E3" s="14" t="s">
        <v>89</v>
      </c>
      <c r="F3" s="14" t="s">
        <v>90</v>
      </c>
      <c r="G3" s="14" t="s">
        <v>91</v>
      </c>
      <c r="H3" s="14" t="s">
        <v>92</v>
      </c>
      <c r="I3" s="14" t="s">
        <v>93</v>
      </c>
      <c r="J3" s="14" t="s">
        <v>94</v>
      </c>
    </row>
    <row r="4" customFormat="false" ht="15" hidden="false" customHeight="true" outlineLevel="0" collapsed="false">
      <c r="A4" s="15" t="n">
        <v>2021</v>
      </c>
      <c r="B4" s="5" t="n">
        <f aca="false">COUNTIF('Bill Ledger'!$B$5:$B$64,A4)</f>
        <v>5</v>
      </c>
      <c r="C4" s="16" t="n">
        <f aca="false">SUMIF('Bill Ledger'!$B$5:$B$64,A4,'Bill Ledger'!$F$5:$F$64)</f>
        <v>47</v>
      </c>
      <c r="D4" s="9" t="n">
        <f aca="false">SUMIF('Bill Ledger'!$B$5:$B$64,A4,'Bill Ledger'!$M$5:$M$64)</f>
        <v>458.33</v>
      </c>
      <c r="E4" s="9" t="n">
        <f aca="false">D4/C4</f>
        <v>9.75170212765958</v>
      </c>
      <c r="F4" s="5"/>
      <c r="G4" s="5"/>
      <c r="H4" s="16" t="n">
        <f aca="false">MIN('Bill Ledger'!$F$5:$F$9)</f>
        <v>3</v>
      </c>
      <c r="I4" s="17" t="n">
        <f aca="false">MEDIAN('Bill Ledger'!$F$5:$F$9)</f>
        <v>10</v>
      </c>
      <c r="J4" s="16" t="n">
        <f aca="false">MAX('Bill Ledger'!$F$5:$F$9)</f>
        <v>14</v>
      </c>
    </row>
    <row r="5" customFormat="false" ht="15" hidden="false" customHeight="true" outlineLevel="0" collapsed="false">
      <c r="A5" s="15" t="n">
        <v>2022</v>
      </c>
      <c r="B5" s="5" t="n">
        <f aca="false">COUNTIF('Bill Ledger'!$B$5:$B$64,A5)</f>
        <v>12</v>
      </c>
      <c r="C5" s="16" t="n">
        <f aca="false">SUMIF('Bill Ledger'!$B$5:$B$64,A5,'Bill Ledger'!$F$5:$F$64)</f>
        <v>111</v>
      </c>
      <c r="D5" s="9" t="n">
        <f aca="false">SUMIF('Bill Ledger'!$B$5:$B$64,A5,'Bill Ledger'!$M$5:$M$64)</f>
        <v>506.1</v>
      </c>
      <c r="E5" s="9" t="n">
        <f aca="false">D5/C5</f>
        <v>4.55945945945946</v>
      </c>
      <c r="F5" s="18" t="n">
        <f aca="false">C5/C4-1</f>
        <v>1.36170212765957</v>
      </c>
      <c r="G5" s="18" t="n">
        <f aca="false">D5/D4-1</f>
        <v>0.104226212554273</v>
      </c>
      <c r="H5" s="16" t="n">
        <f aca="false">MIN('Bill Ledger'!$F$10:$F$21)</f>
        <v>3</v>
      </c>
      <c r="I5" s="17" t="n">
        <f aca="false">MEDIAN('Bill Ledger'!$F$10:$F$21)</f>
        <v>7.5</v>
      </c>
      <c r="J5" s="16" t="n">
        <f aca="false">MAX('Bill Ledger'!$F$10:$F$21)</f>
        <v>18</v>
      </c>
    </row>
    <row r="6" customFormat="false" ht="15" hidden="false" customHeight="true" outlineLevel="0" collapsed="false">
      <c r="A6" s="15" t="n">
        <v>2023</v>
      </c>
      <c r="B6" s="5" t="n">
        <f aca="false">COUNTIF('Bill Ledger'!$B$5:$B$64,A6)</f>
        <v>12</v>
      </c>
      <c r="C6" s="16" t="n">
        <f aca="false">SUMIF('Bill Ledger'!$B$5:$B$64,A6,'Bill Ledger'!$F$5:$F$64)</f>
        <v>117</v>
      </c>
      <c r="D6" s="9" t="n">
        <f aca="false">SUMIF('Bill Ledger'!$B$5:$B$64,A6,'Bill Ledger'!$M$5:$M$64)</f>
        <v>518.8</v>
      </c>
      <c r="E6" s="9" t="n">
        <f aca="false">D6/C6</f>
        <v>4.43418803418803</v>
      </c>
      <c r="F6" s="18" t="n">
        <f aca="false">C6/C5-1</f>
        <v>0.0540540540540539</v>
      </c>
      <c r="G6" s="18" t="n">
        <f aca="false">D6/D5-1</f>
        <v>0.0250938549693736</v>
      </c>
      <c r="H6" s="16" t="n">
        <f aca="false">MIN('Bill Ledger'!$F$22:$F$33)</f>
        <v>2</v>
      </c>
      <c r="I6" s="17" t="n">
        <f aca="false">MEDIAN('Bill Ledger'!$F$22:$F$33)</f>
        <v>8</v>
      </c>
      <c r="J6" s="16" t="n">
        <f aca="false">MAX('Bill Ledger'!$F$22:$F$33)</f>
        <v>21</v>
      </c>
    </row>
    <row r="7" customFormat="false" ht="15" hidden="false" customHeight="true" outlineLevel="0" collapsed="false">
      <c r="A7" s="15" t="n">
        <v>2024</v>
      </c>
      <c r="B7" s="5" t="n">
        <f aca="false">COUNTIF('Bill Ledger'!$B$5:$B$64,A7)</f>
        <v>12</v>
      </c>
      <c r="C7" s="16" t="n">
        <f aca="false">SUMIF('Bill Ledger'!$B$5:$B$64,A7,'Bill Ledger'!$F$5:$F$64)</f>
        <v>109</v>
      </c>
      <c r="D7" s="9" t="n">
        <f aca="false">SUMIF('Bill Ledger'!$B$5:$B$64,A7,'Bill Ledger'!$M$5:$M$64)</f>
        <v>1041.6</v>
      </c>
      <c r="E7" s="9" t="n">
        <f aca="false">D7/C7</f>
        <v>9.55596330275229</v>
      </c>
      <c r="F7" s="18" t="n">
        <f aca="false">C7/C6-1</f>
        <v>-0.0683760683760684</v>
      </c>
      <c r="G7" s="18" t="n">
        <f aca="false">D7/D6-1</f>
        <v>1.0077101002313</v>
      </c>
      <c r="H7" s="16" t="n">
        <f aca="false">MIN('Bill Ledger'!$F$34:$F$45)</f>
        <v>3</v>
      </c>
      <c r="I7" s="17" t="n">
        <f aca="false">MEDIAN('Bill Ledger'!$F$34:$F$45)</f>
        <v>9</v>
      </c>
      <c r="J7" s="16" t="n">
        <f aca="false">MAX('Bill Ledger'!$F$34:$F$45)</f>
        <v>15</v>
      </c>
    </row>
    <row r="8" customFormat="false" ht="15" hidden="false" customHeight="true" outlineLevel="0" collapsed="false">
      <c r="A8" s="15" t="n">
        <v>2025</v>
      </c>
      <c r="B8" s="5" t="n">
        <f aca="false">COUNTIF('Bill Ledger'!$B$5:$B$64,A8)</f>
        <v>12</v>
      </c>
      <c r="C8" s="16" t="n">
        <f aca="false">SUMIF('Bill Ledger'!$B$5:$B$64,A8,'Bill Ledger'!$F$5:$F$64)</f>
        <v>122</v>
      </c>
      <c r="D8" s="9" t="n">
        <f aca="false">SUMIF('Bill Ledger'!$B$5:$B$64,A8,'Bill Ledger'!$M$5:$M$64)</f>
        <v>1159.8</v>
      </c>
      <c r="E8" s="9" t="n">
        <f aca="false">D8/C8</f>
        <v>9.50655737704918</v>
      </c>
      <c r="F8" s="18" t="n">
        <f aca="false">C8/C7-1</f>
        <v>0.119266055045872</v>
      </c>
      <c r="G8" s="18" t="n">
        <f aca="false">D8/D7-1</f>
        <v>0.113479262672811</v>
      </c>
      <c r="H8" s="16" t="n">
        <f aca="false">MIN('Bill Ledger'!$F$46:$F$57)</f>
        <v>3</v>
      </c>
      <c r="I8" s="17" t="n">
        <f aca="false">MEDIAN('Bill Ledger'!$F$46:$F$57)</f>
        <v>10.5</v>
      </c>
      <c r="J8" s="16" t="n">
        <f aca="false">MAX('Bill Ledger'!$F$46:$F$57)</f>
        <v>18</v>
      </c>
    </row>
    <row r="9" customFormat="false" ht="15" hidden="false" customHeight="true" outlineLevel="0" collapsed="false">
      <c r="A9" s="15" t="n">
        <v>2026</v>
      </c>
      <c r="B9" s="5" t="n">
        <f aca="false">COUNTIF('Bill Ledger'!$B$5:$B$64,A9)</f>
        <v>7</v>
      </c>
      <c r="C9" s="16" t="n">
        <f aca="false">SUMIF('Bill Ledger'!$B$5:$B$64,A9,'Bill Ledger'!$F$5:$F$64)</f>
        <v>134</v>
      </c>
      <c r="D9" s="9" t="n">
        <f aca="false">SUMIF('Bill Ledger'!$B$5:$B$64,A9,'Bill Ledger'!$M$5:$M$64)</f>
        <v>1048.6</v>
      </c>
      <c r="E9" s="9" t="n">
        <f aca="false">D9/C9</f>
        <v>7.82537313432836</v>
      </c>
      <c r="F9" s="18" t="n">
        <f aca="false">C9/C8-1</f>
        <v>0.098360655737705</v>
      </c>
      <c r="G9" s="18" t="n">
        <f aca="false">D9/D8-1</f>
        <v>-0.0958785997585792</v>
      </c>
      <c r="H9" s="16" t="n">
        <f aca="false">MIN('Bill Ledger'!$F$58:$F$64)</f>
        <v>11</v>
      </c>
      <c r="I9" s="17" t="n">
        <f aca="false">MEDIAN('Bill Ledger'!$F$58:$F$64)</f>
        <v>22</v>
      </c>
      <c r="J9" s="16" t="n">
        <f aca="false">MAX('Bill Ledger'!$F$58:$F$64)</f>
        <v>25</v>
      </c>
    </row>
    <row r="11" customFormat="false" ht="15" hidden="false" customHeight="true" outlineLevel="0" collapsed="false">
      <c r="A11" s="3" t="s">
        <v>95</v>
      </c>
    </row>
    <row r="13" customFormat="false" ht="15" hidden="false" customHeight="true" outlineLevel="0" collapsed="false">
      <c r="A13" s="10" t="s">
        <v>96</v>
      </c>
    </row>
    <row r="14" customFormat="false" ht="15" hidden="false" customHeight="true" outlineLevel="0" collapsed="false">
      <c r="A14" s="19" t="s">
        <v>3</v>
      </c>
      <c r="B14" s="19" t="s">
        <v>97</v>
      </c>
      <c r="C14" s="19" t="s">
        <v>98</v>
      </c>
      <c r="D14" s="19" t="s">
        <v>99</v>
      </c>
      <c r="E14" s="19" t="s">
        <v>100</v>
      </c>
    </row>
    <row r="15" customFormat="false" ht="15" hidden="false" customHeight="true" outlineLevel="0" collapsed="false">
      <c r="A15" s="15" t="n">
        <v>2022</v>
      </c>
      <c r="B15" s="16" t="n">
        <f aca="false">SUMIFS('Bill Ledger'!$F$5:$F$64,'Bill Ledger'!$B$5:$B$64,A15,'Bill Ledger'!$C$5:$C$64,"&lt;=7")</f>
        <v>67</v>
      </c>
      <c r="C15" s="9" t="n">
        <f aca="false">SUMIFS('Bill Ledger'!$M$5:$M$64,'Bill Ledger'!$B$5:$B$64,A15,'Bill Ledger'!$C$5:$C$64,"&lt;=7")</f>
        <v>306.5</v>
      </c>
      <c r="D15" s="18" t="n">
        <f aca="false">B15/$B$18-1</f>
        <v>0.098360655737705</v>
      </c>
      <c r="E15" s="18" t="n">
        <f aca="false">C15/$C$18-1</f>
        <v>-0.507155491236533</v>
      </c>
    </row>
    <row r="16" customFormat="false" ht="15" hidden="false" customHeight="true" outlineLevel="0" collapsed="false">
      <c r="A16" s="15" t="n">
        <v>2023</v>
      </c>
      <c r="B16" s="16" t="n">
        <f aca="false">SUMIFS('Bill Ledger'!$F$5:$F$64,'Bill Ledger'!$B$5:$B$64,A16,'Bill Ledger'!$C$5:$C$64,"&lt;=7")</f>
        <v>56</v>
      </c>
      <c r="C16" s="9" t="n">
        <f aca="false">SUMIFS('Bill Ledger'!$M$5:$M$64,'Bill Ledger'!$B$5:$B$64,A16,'Bill Ledger'!$C$5:$C$64,"&lt;=7")</f>
        <v>260.4</v>
      </c>
      <c r="D16" s="18" t="n">
        <f aca="false">B16/$B$18-1</f>
        <v>-0.0819672131147541</v>
      </c>
      <c r="E16" s="18" t="n">
        <f aca="false">C16/$C$18-1</f>
        <v>-0.5812831644959</v>
      </c>
    </row>
    <row r="17" customFormat="false" ht="15" hidden="false" customHeight="true" outlineLevel="0" collapsed="false">
      <c r="A17" s="15" t="n">
        <v>2024</v>
      </c>
      <c r="B17" s="16" t="n">
        <f aca="false">SUMIFS('Bill Ledger'!$F$5:$F$64,'Bill Ledger'!$B$5:$B$64,A17,'Bill Ledger'!$C$5:$C$64,"&lt;=7")</f>
        <v>55</v>
      </c>
      <c r="C17" s="9" t="n">
        <f aca="false">SUMIFS('Bill Ledger'!$M$5:$M$64,'Bill Ledger'!$B$5:$B$64,A17,'Bill Ledger'!$C$5:$C$64,"&lt;=7")</f>
        <v>542</v>
      </c>
      <c r="D17" s="18" t="n">
        <f aca="false">B17/$B$18-1</f>
        <v>-0.0983606557377049</v>
      </c>
      <c r="E17" s="18" t="n">
        <f aca="false">C17/$C$18-1</f>
        <v>-0.128477247145843</v>
      </c>
    </row>
    <row r="18" customFormat="false" ht="15" hidden="false" customHeight="true" outlineLevel="0" collapsed="false">
      <c r="A18" s="15" t="n">
        <v>2025</v>
      </c>
      <c r="B18" s="16" t="n">
        <f aca="false">SUMIFS('Bill Ledger'!$F$5:$F$64,'Bill Ledger'!$B$5:$B$64,A18,'Bill Ledger'!$C$5:$C$64,"&lt;=7")</f>
        <v>61</v>
      </c>
      <c r="C18" s="9" t="n">
        <f aca="false">SUMIFS('Bill Ledger'!$M$5:$M$64,'Bill Ledger'!$B$5:$B$64,A18,'Bill Ledger'!$C$5:$C$64,"&lt;=7")</f>
        <v>621.9</v>
      </c>
      <c r="D18" s="18" t="n">
        <f aca="false">B18/$B$18-1</f>
        <v>0</v>
      </c>
      <c r="E18" s="18" t="n">
        <f aca="false">C18/$C$18-1</f>
        <v>0</v>
      </c>
    </row>
    <row r="19" customFormat="false" ht="15" hidden="false" customHeight="true" outlineLevel="0" collapsed="false">
      <c r="A19" s="15" t="n">
        <v>2026</v>
      </c>
      <c r="B19" s="16" t="n">
        <f aca="false">SUMIFS('Bill Ledger'!$F$5:$F$64,'Bill Ledger'!$B$5:$B$64,A19,'Bill Ledger'!$C$5:$C$64,"&lt;=7")</f>
        <v>134</v>
      </c>
      <c r="C19" s="9" t="n">
        <f aca="false">SUMIFS('Bill Ledger'!$M$5:$M$64,'Bill Ledger'!$B$5:$B$64,A19,'Bill Ledger'!$C$5:$C$64,"&lt;=7")</f>
        <v>1048.6</v>
      </c>
      <c r="D19" s="20" t="n">
        <f aca="false">B19/$B$18-1</f>
        <v>1.19672131147541</v>
      </c>
      <c r="E19" s="20" t="n">
        <f aca="false">C19/$C$18-1</f>
        <v>0.686123170927802</v>
      </c>
    </row>
    <row r="21" customFormat="false" ht="15" hidden="false" customHeight="true" outlineLevel="0" collapsed="false">
      <c r="A21" s="21" t="s">
        <v>101</v>
      </c>
    </row>
    <row r="24" customFormat="false" ht="15" hidden="false" customHeight="true" outlineLevel="0" collapsed="false">
      <c r="A24" s="10" t="s">
        <v>102</v>
      </c>
    </row>
    <row r="25" customFormat="false" ht="15" hidden="false" customHeight="true" outlineLevel="0" collapsed="false">
      <c r="A25" s="3" t="s">
        <v>103</v>
      </c>
    </row>
    <row r="26" customFormat="false" ht="15" hidden="false" customHeight="true" outlineLevel="0" collapsed="false">
      <c r="A26" s="19" t="s">
        <v>3</v>
      </c>
      <c r="B26" s="19" t="s">
        <v>104</v>
      </c>
      <c r="C26" s="19" t="s">
        <v>105</v>
      </c>
      <c r="D26" s="19" t="s">
        <v>106</v>
      </c>
      <c r="E26" s="19" t="s">
        <v>107</v>
      </c>
      <c r="F26" s="19" t="s">
        <v>108</v>
      </c>
    </row>
    <row r="27" customFormat="false" ht="15" hidden="false" customHeight="true" outlineLevel="0" collapsed="false">
      <c r="A27" s="15" t="n">
        <v>2022</v>
      </c>
      <c r="B27" s="16" t="n">
        <f aca="false">SUMIFS('Bill Ledger'!$F$5:$F$64,'Bill Ledger'!$B$5:$B$64,$A27,'Bill Ledger'!$C$5:$C$64,1)</f>
        <v>8</v>
      </c>
      <c r="C27" s="16" t="n">
        <f aca="false">SUMIFS('Bill Ledger'!$F$5:$F$64,'Bill Ledger'!$B$5:$B$64,$A27,'Bill Ledger'!$C$5:$C$64,2)</f>
        <v>3</v>
      </c>
      <c r="D27" s="16" t="n">
        <f aca="false">SUMIFS('Bill Ledger'!$F$5:$F$64,'Bill Ledger'!$B$5:$B$64,$A27,'Bill Ledger'!$C$5:$C$64,3)</f>
        <v>4</v>
      </c>
      <c r="E27" s="16" t="n">
        <f aca="false">SUM(B27:D27)</f>
        <v>15</v>
      </c>
      <c r="F27" s="18" t="n">
        <f aca="false">E27/AVERAGE($E$27:$E$30)-1</f>
        <v>-0.0769230769230769</v>
      </c>
    </row>
    <row r="28" customFormat="false" ht="15" hidden="false" customHeight="true" outlineLevel="0" collapsed="false">
      <c r="A28" s="15" t="n">
        <v>2023</v>
      </c>
      <c r="B28" s="16" t="n">
        <f aca="false">SUMIFS('Bill Ledger'!$F$5:$F$64,'Bill Ledger'!$B$5:$B$64,$A28,'Bill Ledger'!$C$5:$C$64,1)</f>
        <v>6</v>
      </c>
      <c r="C28" s="16" t="n">
        <f aca="false">SUMIFS('Bill Ledger'!$F$5:$F$64,'Bill Ledger'!$B$5:$B$64,$A28,'Bill Ledger'!$C$5:$C$64,2)</f>
        <v>2</v>
      </c>
      <c r="D28" s="16" t="n">
        <f aca="false">SUMIFS('Bill Ledger'!$F$5:$F$64,'Bill Ledger'!$B$5:$B$64,$A28,'Bill Ledger'!$C$5:$C$64,3)</f>
        <v>8</v>
      </c>
      <c r="E28" s="16" t="n">
        <f aca="false">SUM(B28:D28)</f>
        <v>16</v>
      </c>
      <c r="F28" s="18" t="n">
        <f aca="false">E28/AVERAGE($E$27:$E$30)-1</f>
        <v>-0.0153846153846153</v>
      </c>
    </row>
    <row r="29" customFormat="false" ht="15" hidden="false" customHeight="true" outlineLevel="0" collapsed="false">
      <c r="A29" s="15" t="n">
        <v>2024</v>
      </c>
      <c r="B29" s="16" t="n">
        <f aca="false">SUMIFS('Bill Ledger'!$F$5:$F$64,'Bill Ledger'!$B$5:$B$64,$A29,'Bill Ledger'!$C$5:$C$64,1)</f>
        <v>7</v>
      </c>
      <c r="C29" s="16" t="n">
        <f aca="false">SUMIFS('Bill Ledger'!$F$5:$F$64,'Bill Ledger'!$B$5:$B$64,$A29,'Bill Ledger'!$C$5:$C$64,2)</f>
        <v>3</v>
      </c>
      <c r="D29" s="16" t="n">
        <f aca="false">SUMIFS('Bill Ledger'!$F$5:$F$64,'Bill Ledger'!$B$5:$B$64,$A29,'Bill Ledger'!$C$5:$C$64,3)</f>
        <v>8</v>
      </c>
      <c r="E29" s="16" t="n">
        <f aca="false">SUM(B29:D29)</f>
        <v>18</v>
      </c>
      <c r="F29" s="18" t="n">
        <f aca="false">E29/AVERAGE($E$27:$E$30)-1</f>
        <v>0.107692307692308</v>
      </c>
    </row>
    <row r="30" customFormat="false" ht="15" hidden="false" customHeight="true" outlineLevel="0" collapsed="false">
      <c r="A30" s="15" t="n">
        <v>2025</v>
      </c>
      <c r="B30" s="16" t="n">
        <f aca="false">SUMIFS('Bill Ledger'!$F$5:$F$64,'Bill Ledger'!$B$5:$B$64,$A30,'Bill Ledger'!$C$5:$C$64,1)</f>
        <v>7</v>
      </c>
      <c r="C30" s="16" t="n">
        <f aca="false">SUMIFS('Bill Ledger'!$F$5:$F$64,'Bill Ledger'!$B$5:$B$64,$A30,'Bill Ledger'!$C$5:$C$64,2)</f>
        <v>6</v>
      </c>
      <c r="D30" s="16" t="n">
        <f aca="false">SUMIFS('Bill Ledger'!$F$5:$F$64,'Bill Ledger'!$B$5:$B$64,$A30,'Bill Ledger'!$C$5:$C$64,3)</f>
        <v>3</v>
      </c>
      <c r="E30" s="16" t="n">
        <f aca="false">SUM(B30:D30)</f>
        <v>16</v>
      </c>
      <c r="F30" s="18" t="n">
        <f aca="false">E30/AVERAGE($E$27:$E$30)-1</f>
        <v>-0.0153846153846153</v>
      </c>
    </row>
    <row r="31" customFormat="false" ht="15" hidden="false" customHeight="true" outlineLevel="0" collapsed="false">
      <c r="A31" s="15" t="n">
        <v>2026</v>
      </c>
      <c r="B31" s="16" t="n">
        <f aca="false">SUMIFS('Bill Ledger'!$F$5:$F$64,'Bill Ledger'!$B$5:$B$64,$A31,'Bill Ledger'!$C$5:$C$64,1)</f>
        <v>15</v>
      </c>
      <c r="C31" s="16" t="n">
        <f aca="false">SUMIFS('Bill Ledger'!$F$5:$F$64,'Bill Ledger'!$B$5:$B$64,$A31,'Bill Ledger'!$C$5:$C$64,2)</f>
        <v>11</v>
      </c>
      <c r="D31" s="16" t="n">
        <f aca="false">SUMIFS('Bill Ledger'!$F$5:$F$64,'Bill Ledger'!$B$5:$B$64,$A31,'Bill Ledger'!$C$5:$C$64,3)</f>
        <v>15</v>
      </c>
      <c r="E31" s="22" t="n">
        <f aca="false">SUM(B31:D31)</f>
        <v>41</v>
      </c>
      <c r="F31" s="20" t="n">
        <f aca="false">E31/AVERAGE($E$27:$E$30)-1</f>
        <v>1.52307692307692</v>
      </c>
    </row>
    <row r="33" customFormat="false" ht="15" hidden="false" customHeight="true" outlineLevel="0" collapsed="false">
      <c r="A33" s="2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26"/>
    <col collapsed="false" customWidth="true" hidden="false" outlineLevel="0" max="4" min="4" style="1" width="22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2" t="s">
        <v>110</v>
      </c>
    </row>
    <row r="2" customFormat="false" ht="15" hidden="false" customHeight="true" outlineLevel="0" collapsed="false">
      <c r="A2" s="3" t="s">
        <v>111</v>
      </c>
    </row>
    <row r="4" customFormat="false" ht="15" hidden="false" customHeight="true" outlineLevel="0" collapsed="false">
      <c r="A4" s="19" t="s">
        <v>112</v>
      </c>
      <c r="B4" s="19" t="s">
        <v>113</v>
      </c>
      <c r="C4" s="19" t="s">
        <v>114</v>
      </c>
      <c r="D4" s="19" t="s">
        <v>115</v>
      </c>
    </row>
    <row r="5" customFormat="false" ht="15" hidden="false" customHeight="true" outlineLevel="0" collapsed="false">
      <c r="A5" s="23"/>
      <c r="B5" s="23" t="s">
        <v>116</v>
      </c>
      <c r="C5" s="23"/>
      <c r="D5" s="23"/>
    </row>
    <row r="6" customFormat="false" ht="15" hidden="false" customHeight="true" outlineLevel="0" collapsed="false">
      <c r="A6" s="5" t="s">
        <v>117</v>
      </c>
      <c r="B6" s="5" t="s">
        <v>118</v>
      </c>
      <c r="C6" s="5" t="s">
        <v>119</v>
      </c>
      <c r="D6" s="5" t="s">
        <v>120</v>
      </c>
    </row>
    <row r="7" customFormat="false" ht="15" hidden="false" customHeight="true" outlineLevel="0" collapsed="false">
      <c r="A7" s="5" t="s">
        <v>117</v>
      </c>
      <c r="B7" s="5" t="s">
        <v>121</v>
      </c>
      <c r="C7" s="5" t="s">
        <v>122</v>
      </c>
      <c r="D7" s="5" t="s">
        <v>123</v>
      </c>
    </row>
    <row r="8" customFormat="false" ht="15" hidden="false" customHeight="true" outlineLevel="0" collapsed="false">
      <c r="A8" s="5" t="s">
        <v>124</v>
      </c>
      <c r="B8" s="5" t="s">
        <v>125</v>
      </c>
      <c r="C8" s="5" t="s">
        <v>126</v>
      </c>
      <c r="D8" s="5" t="s">
        <v>127</v>
      </c>
    </row>
    <row r="9" customFormat="false" ht="15" hidden="false" customHeight="true" outlineLevel="0" collapsed="false">
      <c r="A9" s="5" t="s">
        <v>128</v>
      </c>
      <c r="B9" s="5" t="s">
        <v>129</v>
      </c>
      <c r="C9" s="5" t="s">
        <v>130</v>
      </c>
      <c r="D9" s="5" t="s">
        <v>131</v>
      </c>
    </row>
    <row r="10" customFormat="false" ht="15" hidden="false" customHeight="true" outlineLevel="0" collapsed="false">
      <c r="A10" s="5" t="s">
        <v>132</v>
      </c>
      <c r="B10" s="5" t="s">
        <v>133</v>
      </c>
      <c r="C10" s="5" t="s">
        <v>134</v>
      </c>
      <c r="D10" s="5" t="s">
        <v>135</v>
      </c>
    </row>
    <row r="11" customFormat="false" ht="15" hidden="false" customHeight="true" outlineLevel="0" collapsed="false">
      <c r="A11" s="5"/>
      <c r="B11" s="5"/>
      <c r="C11" s="5"/>
      <c r="D11" s="5"/>
    </row>
    <row r="12" customFormat="false" ht="15" hidden="false" customHeight="true" outlineLevel="0" collapsed="false">
      <c r="A12" s="23"/>
      <c r="B12" s="23" t="s">
        <v>136</v>
      </c>
      <c r="C12" s="23"/>
      <c r="D12" s="23"/>
    </row>
    <row r="13" customFormat="false" ht="15" hidden="false" customHeight="true" outlineLevel="0" collapsed="false">
      <c r="A13" s="5" t="s">
        <v>117</v>
      </c>
      <c r="B13" s="5" t="s">
        <v>137</v>
      </c>
      <c r="C13" s="5" t="s">
        <v>138</v>
      </c>
      <c r="D13" s="5" t="s">
        <v>139</v>
      </c>
    </row>
    <row r="14" customFormat="false" ht="15" hidden="false" customHeight="true" outlineLevel="0" collapsed="false">
      <c r="A14" s="5" t="s">
        <v>117</v>
      </c>
      <c r="B14" s="5" t="s">
        <v>140</v>
      </c>
      <c r="C14" s="5" t="s">
        <v>141</v>
      </c>
      <c r="D14" s="5"/>
    </row>
    <row r="15" customFormat="false" ht="15" hidden="false" customHeight="true" outlineLevel="0" collapsed="false">
      <c r="A15" s="5" t="s">
        <v>117</v>
      </c>
      <c r="B15" s="5" t="s">
        <v>121</v>
      </c>
      <c r="C15" s="5" t="s">
        <v>142</v>
      </c>
      <c r="D15" s="5" t="s">
        <v>143</v>
      </c>
    </row>
    <row r="16" customFormat="false" ht="15" hidden="false" customHeight="true" outlineLevel="0" collapsed="false">
      <c r="A16" s="5" t="s">
        <v>124</v>
      </c>
      <c r="B16" s="5" t="s">
        <v>125</v>
      </c>
      <c r="C16" s="5" t="s">
        <v>144</v>
      </c>
      <c r="D16" s="5" t="s">
        <v>145</v>
      </c>
    </row>
    <row r="17" customFormat="false" ht="15" hidden="false" customHeight="true" outlineLevel="0" collapsed="false">
      <c r="A17" s="5" t="s">
        <v>128</v>
      </c>
      <c r="B17" s="5" t="s">
        <v>129</v>
      </c>
      <c r="C17" s="5" t="s">
        <v>146</v>
      </c>
      <c r="D17" s="5" t="s">
        <v>147</v>
      </c>
    </row>
    <row r="18" customFormat="false" ht="15" hidden="false" customHeight="true" outlineLevel="0" collapsed="false">
      <c r="A18" s="5" t="s">
        <v>132</v>
      </c>
      <c r="B18" s="5" t="s">
        <v>148</v>
      </c>
      <c r="C18" s="5" t="s">
        <v>149</v>
      </c>
      <c r="D18" s="5" t="s">
        <v>150</v>
      </c>
    </row>
    <row r="19" customFormat="false" ht="15" hidden="false" customHeight="true" outlineLevel="0" collapsed="false">
      <c r="A19" s="5" t="s">
        <v>151</v>
      </c>
      <c r="B19" s="5" t="s">
        <v>152</v>
      </c>
      <c r="C19" s="5" t="s">
        <v>153</v>
      </c>
      <c r="D19" s="5" t="s">
        <v>154</v>
      </c>
    </row>
    <row r="20" customFormat="false" ht="15" hidden="false" customHeight="true" outlineLevel="0" collapsed="false">
      <c r="A20" s="5" t="s">
        <v>155</v>
      </c>
      <c r="B20" s="5" t="s">
        <v>156</v>
      </c>
      <c r="C20" s="5" t="s">
        <v>157</v>
      </c>
      <c r="D20" s="5" t="s">
        <v>158</v>
      </c>
    </row>
    <row r="23" customFormat="false" ht="15" hidden="false" customHeight="true" outlineLevel="0" collapsed="false">
      <c r="A23" s="10" t="s">
        <v>159</v>
      </c>
    </row>
    <row r="24" customFormat="false" ht="27.75" hidden="false" customHeight="true" outlineLevel="0" collapsed="false">
      <c r="A24" s="14" t="s">
        <v>160</v>
      </c>
      <c r="B24" s="14" t="s">
        <v>161</v>
      </c>
      <c r="C24" s="14" t="s">
        <v>162</v>
      </c>
      <c r="D24" s="14" t="s">
        <v>163</v>
      </c>
      <c r="E24" s="14" t="s">
        <v>164</v>
      </c>
    </row>
    <row r="25" customFormat="false" ht="15" hidden="false" customHeight="true" outlineLevel="0" collapsed="false">
      <c r="A25" s="6" t="n">
        <v>0</v>
      </c>
      <c r="B25" s="9" t="n">
        <f aca="false">0.5*MIN(A25,20)+1.5*MAX(0,A25-20)+10+4.9*A25-2*A25</f>
        <v>10</v>
      </c>
      <c r="C25" s="9" t="n">
        <f aca="false">25+1*MAX(0,MIN(A25,20)-10)+2*MAX(0,A25-20)+20+4.9*A25</f>
        <v>45</v>
      </c>
      <c r="D25" s="9" t="n">
        <f aca="false">C25-B25</f>
        <v>35</v>
      </c>
      <c r="E25" s="18" t="n">
        <f aca="false">IF(B25=0,"n/a",C25/B25-1)</f>
        <v>3.5</v>
      </c>
    </row>
    <row r="26" customFormat="false" ht="15" hidden="false" customHeight="true" outlineLevel="0" collapsed="false">
      <c r="A26" s="6" t="n">
        <v>3</v>
      </c>
      <c r="B26" s="9" t="n">
        <f aca="false">0.5*MIN(A26,20)+1.5*MAX(0,A26-20)+10+4.9*A26-2*A26</f>
        <v>20.2</v>
      </c>
      <c r="C26" s="9" t="n">
        <f aca="false">25+1*MAX(0,MIN(A26,20)-10)+2*MAX(0,A26-20)+20+4.9*A26</f>
        <v>59.7</v>
      </c>
      <c r="D26" s="9" t="n">
        <f aca="false">C26-B26</f>
        <v>39.5</v>
      </c>
      <c r="E26" s="18" t="n">
        <f aca="false">IF(B26=0,"n/a",C26/B26-1)</f>
        <v>1.95544554455446</v>
      </c>
    </row>
    <row r="27" customFormat="false" ht="15" hidden="false" customHeight="true" outlineLevel="0" collapsed="false">
      <c r="A27" s="6" t="n">
        <v>5</v>
      </c>
      <c r="B27" s="9" t="n">
        <f aca="false">0.5*MIN(A27,20)+1.5*MAX(0,A27-20)+10+4.9*A27-2*A27</f>
        <v>27</v>
      </c>
      <c r="C27" s="9" t="n">
        <f aca="false">25+1*MAX(0,MIN(A27,20)-10)+2*MAX(0,A27-20)+20+4.9*A27</f>
        <v>69.5</v>
      </c>
      <c r="D27" s="9" t="n">
        <f aca="false">C27-B27</f>
        <v>42.5</v>
      </c>
      <c r="E27" s="18" t="n">
        <f aca="false">IF(B27=0,"n/a",C27/B27-1)</f>
        <v>1.57407407407407</v>
      </c>
    </row>
    <row r="28" customFormat="false" ht="15" hidden="false" customHeight="true" outlineLevel="0" collapsed="false">
      <c r="A28" s="6" t="n">
        <v>8</v>
      </c>
      <c r="B28" s="9" t="n">
        <f aca="false">0.5*MIN(A28,20)+1.5*MAX(0,A28-20)+10+4.9*A28-2*A28</f>
        <v>37.2</v>
      </c>
      <c r="C28" s="9" t="n">
        <f aca="false">25+1*MAX(0,MIN(A28,20)-10)+2*MAX(0,A28-20)+20+4.9*A28</f>
        <v>84.2</v>
      </c>
      <c r="D28" s="9" t="n">
        <f aca="false">C28-B28</f>
        <v>47</v>
      </c>
      <c r="E28" s="20" t="n">
        <f aca="false">IF(B28=0,"n/a",C28/B28-1)</f>
        <v>1.26344086021505</v>
      </c>
    </row>
    <row r="29" customFormat="false" ht="15" hidden="false" customHeight="true" outlineLevel="0" collapsed="false">
      <c r="A29" s="6" t="n">
        <v>10</v>
      </c>
      <c r="B29" s="9" t="n">
        <f aca="false">0.5*MIN(A29,20)+1.5*MAX(0,A29-20)+10+4.9*A29-2*A29</f>
        <v>44</v>
      </c>
      <c r="C29" s="9" t="n">
        <f aca="false">25+1*MAX(0,MIN(A29,20)-10)+2*MAX(0,A29-20)+20+4.9*A29</f>
        <v>94</v>
      </c>
      <c r="D29" s="9" t="n">
        <f aca="false">C29-B29</f>
        <v>50</v>
      </c>
      <c r="E29" s="18" t="n">
        <f aca="false">IF(B29=0,"n/a",C29/B29-1)</f>
        <v>1.13636363636364</v>
      </c>
    </row>
    <row r="30" customFormat="false" ht="15" hidden="false" customHeight="true" outlineLevel="0" collapsed="false">
      <c r="A30" s="6" t="n">
        <v>15</v>
      </c>
      <c r="B30" s="9" t="n">
        <f aca="false">0.5*MIN(A30,20)+1.5*MAX(0,A30-20)+10+4.9*A30-2*A30</f>
        <v>61</v>
      </c>
      <c r="C30" s="9" t="n">
        <f aca="false">25+1*MAX(0,MIN(A30,20)-10)+2*MAX(0,A30-20)+20+4.9*A30</f>
        <v>123.5</v>
      </c>
      <c r="D30" s="9" t="n">
        <f aca="false">C30-B30</f>
        <v>62.5</v>
      </c>
      <c r="E30" s="18" t="n">
        <f aca="false">IF(B30=0,"n/a",C30/B30-1)</f>
        <v>1.02459016393443</v>
      </c>
    </row>
    <row r="31" customFormat="false" ht="15" hidden="false" customHeight="true" outlineLevel="0" collapsed="false">
      <c r="A31" s="6" t="n">
        <v>20</v>
      </c>
      <c r="B31" s="9" t="n">
        <f aca="false">0.5*MIN(A31,20)+1.5*MAX(0,A31-20)+10+4.9*A31-2*A31</f>
        <v>78</v>
      </c>
      <c r="C31" s="9" t="n">
        <f aca="false">25+1*MAX(0,MIN(A31,20)-10)+2*MAX(0,A31-20)+20+4.9*A31</f>
        <v>153</v>
      </c>
      <c r="D31" s="9" t="n">
        <f aca="false">C31-B31</f>
        <v>75</v>
      </c>
      <c r="E31" s="18" t="n">
        <f aca="false">IF(B31=0,"n/a",C31/B31-1)</f>
        <v>0.961538461538462</v>
      </c>
    </row>
    <row r="32" customFormat="false" ht="15" hidden="false" customHeight="true" outlineLevel="0" collapsed="false">
      <c r="A32" s="6" t="n">
        <v>22</v>
      </c>
      <c r="B32" s="9" t="n">
        <f aca="false">0.5*MIN(A32,20)+1.5*MAX(0,A32-20)+10+4.9*A32-2*A32</f>
        <v>86.8</v>
      </c>
      <c r="C32" s="9" t="n">
        <f aca="false">25+1*MAX(0,MIN(A32,20)-10)+2*MAX(0,A32-20)+20+4.9*A32</f>
        <v>166.8</v>
      </c>
      <c r="D32" s="9" t="n">
        <f aca="false">C32-B32</f>
        <v>80</v>
      </c>
      <c r="E32" s="18" t="n">
        <f aca="false">IF(B32=0,"n/a",C32/B32-1)</f>
        <v>0.921658986175115</v>
      </c>
    </row>
    <row r="33" customFormat="false" ht="15" hidden="false" customHeight="true" outlineLevel="0" collapsed="false">
      <c r="A33" s="6" t="n">
        <v>25</v>
      </c>
      <c r="B33" s="9" t="n">
        <f aca="false">0.5*MIN(A33,20)+1.5*MAX(0,A33-20)+10+4.9*A33-2*A33</f>
        <v>100</v>
      </c>
      <c r="C33" s="9" t="n">
        <f aca="false">25+1*MAX(0,MIN(A33,20)-10)+2*MAX(0,A33-20)+20+4.9*A33</f>
        <v>187.5</v>
      </c>
      <c r="D33" s="9" t="n">
        <f aca="false">C33-B33</f>
        <v>87.5</v>
      </c>
      <c r="E33" s="18" t="n">
        <f aca="false">IF(B33=0,"n/a",C33/B33-1)</f>
        <v>0.875</v>
      </c>
    </row>
    <row r="35" customFormat="false" ht="15" hidden="false" customHeight="true" outlineLevel="0" collapsed="false">
      <c r="A35" s="21" t="s">
        <v>165</v>
      </c>
    </row>
    <row r="36" customFormat="false" ht="15" hidden="false" customHeight="true" outlineLevel="0" collapsed="false">
      <c r="A36" s="21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7"/>
    <col collapsed="false" customWidth="true" hidden="false" outlineLevel="0" max="6" min="5" style="1" width="13"/>
    <col collapsed="false" customWidth="true" hidden="false" outlineLevel="0" max="7" min="7" style="1" width="42"/>
  </cols>
  <sheetData>
    <row r="1" customFormat="false" ht="17.25" hidden="false" customHeight="true" outlineLevel="0" collapsed="false">
      <c r="A1" s="2" t="s">
        <v>167</v>
      </c>
    </row>
    <row r="2" customFormat="false" ht="15" hidden="false" customHeight="true" outlineLevel="0" collapsed="false">
      <c r="A2" s="3" t="s">
        <v>168</v>
      </c>
    </row>
    <row r="4" customFormat="false" ht="25.5" hidden="false" customHeight="true" outlineLevel="0" collapsed="false">
      <c r="A4" s="14" t="s">
        <v>160</v>
      </c>
      <c r="B4" s="14" t="s">
        <v>169</v>
      </c>
      <c r="C4" s="14" t="s">
        <v>170</v>
      </c>
      <c r="D4" s="14" t="s">
        <v>171</v>
      </c>
      <c r="E4" s="14" t="s">
        <v>172</v>
      </c>
      <c r="F4" s="14" t="s">
        <v>173</v>
      </c>
      <c r="G4" s="14" t="s">
        <v>115</v>
      </c>
    </row>
    <row r="5" customFormat="false" ht="15" hidden="false" customHeight="true" outlineLevel="0" collapsed="false">
      <c r="A5" s="6" t="n">
        <v>3</v>
      </c>
      <c r="B5" s="9" t="n">
        <f aca="false">25+1*MAX(0,MIN(A5,20)-10)+2*MAX(0,MIN(A5,50)-20)+3*MAX(0,A5-50)+20+4.9*A5</f>
        <v>59.7</v>
      </c>
      <c r="C5" s="9" t="n">
        <f aca="false">30+1.5*MAX(0,MIN(A5,10)-5)+2*MAX(0,MIN(A5,15)-10)+2.5*MAX(0,MIN(A5,20)-15)+3*MAX(0,MIN(A5,25)-20)+3.5*MAX(0,MIN(A5,30)-25)+4*MAX(0,MIN(A5,35)-30)+4.5*MAX(0,MIN(A5,50)-35)+5*MAX(0,A5-50)+IF(A5&lt;=20,55,IF(A5&lt;=30,60,IF(A5&lt;=40,65,IF(A5&lt;=50,70,75))))+4.9*A5</f>
        <v>99.7</v>
      </c>
      <c r="D5" s="9" t="n">
        <f aca="false">30+3*MAX(0,MIN(A5,5)-2)+4*MAX(0,MIN(A5,9)-5)+4.5*MAX(0,MIN(A5,14)-9)+5.5*MAX(0,MIN(A5,20)-14)+6.5*MAX(0,MIN(A5,27)-20)+7.5*MAX(0,A5-27)+55+1.5*MAX(0,MIN(A5,8)-5)+2*MAX(0,MIN(A5,15)-8)+2.5*MAX(0,MIN(A5,20)-15)+3*MAX(0,MIN(A5,25)-20)+3.5*MAX(0,A5-25)+100+4.9*A5</f>
        <v>202.7</v>
      </c>
      <c r="E5" s="24" t="n">
        <f aca="false">C5/B5-1</f>
        <v>0.67001675041876</v>
      </c>
      <c r="F5" s="24" t="n">
        <f aca="false">D5/B5-1</f>
        <v>2.39530988274707</v>
      </c>
      <c r="G5" s="3"/>
    </row>
    <row r="6" customFormat="false" ht="15" hidden="false" customHeight="true" outlineLevel="0" collapsed="false">
      <c r="A6" s="6" t="n">
        <v>5</v>
      </c>
      <c r="B6" s="9" t="n">
        <f aca="false">25+1*MAX(0,MIN(A6,20)-10)+2*MAX(0,MIN(A6,50)-20)+3*MAX(0,A6-50)+20+4.9*A6</f>
        <v>69.5</v>
      </c>
      <c r="C6" s="9" t="n">
        <f aca="false">30+1.5*MAX(0,MIN(A6,10)-5)+2*MAX(0,MIN(A6,15)-10)+2.5*MAX(0,MIN(A6,20)-15)+3*MAX(0,MIN(A6,25)-20)+3.5*MAX(0,MIN(A6,30)-25)+4*MAX(0,MIN(A6,35)-30)+4.5*MAX(0,MIN(A6,50)-35)+5*MAX(0,A6-50)+IF(A6&lt;=20,55,IF(A6&lt;=30,60,IF(A6&lt;=40,65,IF(A6&lt;=50,70,75))))+4.9*A6</f>
        <v>109.5</v>
      </c>
      <c r="D6" s="9" t="n">
        <f aca="false">30+3*MAX(0,MIN(A6,5)-2)+4*MAX(0,MIN(A6,9)-5)+4.5*MAX(0,MIN(A6,14)-9)+5.5*MAX(0,MIN(A6,20)-14)+6.5*MAX(0,MIN(A6,27)-20)+7.5*MAX(0,A6-27)+55+1.5*MAX(0,MIN(A6,8)-5)+2*MAX(0,MIN(A6,15)-8)+2.5*MAX(0,MIN(A6,20)-15)+3*MAX(0,MIN(A6,25)-20)+3.5*MAX(0,A6-25)+100+4.9*A6</f>
        <v>218.5</v>
      </c>
      <c r="E6" s="24" t="n">
        <f aca="false">C6/B6-1</f>
        <v>0.575539568345324</v>
      </c>
      <c r="F6" s="24" t="n">
        <f aca="false">D6/B6-1</f>
        <v>2.14388489208633</v>
      </c>
      <c r="G6" s="3"/>
    </row>
    <row r="7" customFormat="false" ht="15" hidden="false" customHeight="true" outlineLevel="0" collapsed="false">
      <c r="A7" s="25" t="n">
        <v>7</v>
      </c>
      <c r="B7" s="26" t="n">
        <f aca="false">25+1*MAX(0,MIN(A7,20)-10)+2*MAX(0,MIN(A7,50)-20)+3*MAX(0,A7-50)+20+4.9*A7</f>
        <v>79.3</v>
      </c>
      <c r="C7" s="26" t="n">
        <f aca="false">30+1.5*MAX(0,MIN(A7,10)-5)+2*MAX(0,MIN(A7,15)-10)+2.5*MAX(0,MIN(A7,20)-15)+3*MAX(0,MIN(A7,25)-20)+3.5*MAX(0,MIN(A7,30)-25)+4*MAX(0,MIN(A7,35)-30)+4.5*MAX(0,MIN(A7,50)-35)+5*MAX(0,A7-50)+IF(A7&lt;=20,55,IF(A7&lt;=30,60,IF(A7&lt;=40,65,IF(A7&lt;=50,70,75))))+4.9*A7</f>
        <v>122.3</v>
      </c>
      <c r="D7" s="26" t="n">
        <f aca="false">30+3*MAX(0,MIN(A7,5)-2)+4*MAX(0,MIN(A7,9)-5)+4.5*MAX(0,MIN(A7,14)-9)+5.5*MAX(0,MIN(A7,20)-14)+6.5*MAX(0,MIN(A7,27)-20)+7.5*MAX(0,A7-27)+55+1.5*MAX(0,MIN(A7,8)-5)+2*MAX(0,MIN(A7,15)-8)+2.5*MAX(0,MIN(A7,20)-15)+3*MAX(0,MIN(A7,25)-20)+3.5*MAX(0,A7-25)+100+4.9*A7</f>
        <v>239.3</v>
      </c>
      <c r="E7" s="27" t="n">
        <f aca="false">C7/B7-1</f>
        <v>0.542244640605296</v>
      </c>
      <c r="F7" s="27" t="n">
        <f aca="false">D7/B7-1</f>
        <v>2.01765447667087</v>
      </c>
      <c r="G7" s="3" t="s">
        <v>174</v>
      </c>
    </row>
    <row r="8" customFormat="false" ht="15" hidden="false" customHeight="true" outlineLevel="0" collapsed="false">
      <c r="A8" s="6" t="n">
        <v>8</v>
      </c>
      <c r="B8" s="9" t="n">
        <f aca="false">25+1*MAX(0,MIN(A8,20)-10)+2*MAX(0,MIN(A8,50)-20)+3*MAX(0,A8-50)+20+4.9*A8</f>
        <v>84.2</v>
      </c>
      <c r="C8" s="9" t="n">
        <f aca="false">30+1.5*MAX(0,MIN(A8,10)-5)+2*MAX(0,MIN(A8,15)-10)+2.5*MAX(0,MIN(A8,20)-15)+3*MAX(0,MIN(A8,25)-20)+3.5*MAX(0,MIN(A8,30)-25)+4*MAX(0,MIN(A8,35)-30)+4.5*MAX(0,MIN(A8,50)-35)+5*MAX(0,A8-50)+IF(A8&lt;=20,55,IF(A8&lt;=30,60,IF(A8&lt;=40,65,IF(A8&lt;=50,70,75))))+4.9*A8</f>
        <v>128.7</v>
      </c>
      <c r="D8" s="9" t="n">
        <f aca="false">30+3*MAX(0,MIN(A8,5)-2)+4*MAX(0,MIN(A8,9)-5)+4.5*MAX(0,MIN(A8,14)-9)+5.5*MAX(0,MIN(A8,20)-14)+6.5*MAX(0,MIN(A8,27)-20)+7.5*MAX(0,A8-27)+55+1.5*MAX(0,MIN(A8,8)-5)+2*MAX(0,MIN(A8,15)-8)+2.5*MAX(0,MIN(A8,20)-15)+3*MAX(0,MIN(A8,25)-20)+3.5*MAX(0,A8-25)+100+4.9*A8</f>
        <v>249.7</v>
      </c>
      <c r="E8" s="24" t="n">
        <f aca="false">C8/B8-1</f>
        <v>0.528503562945368</v>
      </c>
      <c r="F8" s="24" t="n">
        <f aca="false">D8/B8-1</f>
        <v>1.96555819477435</v>
      </c>
      <c r="G8" s="3" t="s">
        <v>175</v>
      </c>
    </row>
    <row r="9" customFormat="false" ht="15" hidden="false" customHeight="true" outlineLevel="0" collapsed="false">
      <c r="A9" s="6" t="n">
        <v>10</v>
      </c>
      <c r="B9" s="9" t="n">
        <f aca="false">25+1*MAX(0,MIN(A9,20)-10)+2*MAX(0,MIN(A9,50)-20)+3*MAX(0,A9-50)+20+4.9*A9</f>
        <v>94</v>
      </c>
      <c r="C9" s="9" t="n">
        <f aca="false">30+1.5*MAX(0,MIN(A9,10)-5)+2*MAX(0,MIN(A9,15)-10)+2.5*MAX(0,MIN(A9,20)-15)+3*MAX(0,MIN(A9,25)-20)+3.5*MAX(0,MIN(A9,30)-25)+4*MAX(0,MIN(A9,35)-30)+4.5*MAX(0,MIN(A9,50)-35)+5*MAX(0,A9-50)+IF(A9&lt;=20,55,IF(A9&lt;=30,60,IF(A9&lt;=40,65,IF(A9&lt;=50,70,75))))+4.9*A9</f>
        <v>141.5</v>
      </c>
      <c r="D9" s="9" t="n">
        <f aca="false">30+3*MAX(0,MIN(A9,5)-2)+4*MAX(0,MIN(A9,9)-5)+4.5*MAX(0,MIN(A9,14)-9)+5.5*MAX(0,MIN(A9,20)-14)+6.5*MAX(0,MIN(A9,27)-20)+7.5*MAX(0,A9-27)+55+1.5*MAX(0,MIN(A9,8)-5)+2*MAX(0,MIN(A9,15)-8)+2.5*MAX(0,MIN(A9,20)-15)+3*MAX(0,MIN(A9,25)-20)+3.5*MAX(0,A9-25)+100+4.9*A9</f>
        <v>272</v>
      </c>
      <c r="E9" s="24" t="n">
        <f aca="false">C9/B9-1</f>
        <v>0.50531914893617</v>
      </c>
      <c r="F9" s="24" t="n">
        <f aca="false">D9/B9-1</f>
        <v>1.8936170212766</v>
      </c>
      <c r="G9" s="3"/>
    </row>
    <row r="10" customFormat="false" ht="15" hidden="false" customHeight="true" outlineLevel="0" collapsed="false">
      <c r="A10" s="6" t="n">
        <v>12</v>
      </c>
      <c r="B10" s="9" t="n">
        <f aca="false">25+1*MAX(0,MIN(A10,20)-10)+2*MAX(0,MIN(A10,50)-20)+3*MAX(0,A10-50)+20+4.9*A10</f>
        <v>105.8</v>
      </c>
      <c r="C10" s="9" t="n">
        <f aca="false">30+1.5*MAX(0,MIN(A10,10)-5)+2*MAX(0,MIN(A10,15)-10)+2.5*MAX(0,MIN(A10,20)-15)+3*MAX(0,MIN(A10,25)-20)+3.5*MAX(0,MIN(A10,30)-25)+4*MAX(0,MIN(A10,35)-30)+4.5*MAX(0,MIN(A10,50)-35)+5*MAX(0,A10-50)+IF(A10&lt;=20,55,IF(A10&lt;=30,60,IF(A10&lt;=40,65,IF(A10&lt;=50,70,75))))+4.9*A10</f>
        <v>155.3</v>
      </c>
      <c r="D10" s="9" t="n">
        <f aca="false">30+3*MAX(0,MIN(A10,5)-2)+4*MAX(0,MIN(A10,9)-5)+4.5*MAX(0,MIN(A10,14)-9)+5.5*MAX(0,MIN(A10,20)-14)+6.5*MAX(0,MIN(A10,27)-20)+7.5*MAX(0,A10-27)+55+1.5*MAX(0,MIN(A10,8)-5)+2*MAX(0,MIN(A10,15)-8)+2.5*MAX(0,MIN(A10,20)-15)+3*MAX(0,MIN(A10,25)-20)+3.5*MAX(0,A10-25)+100+4.9*A10</f>
        <v>294.8</v>
      </c>
      <c r="E10" s="24" t="n">
        <f aca="false">C10/B10-1</f>
        <v>0.467863894139887</v>
      </c>
      <c r="F10" s="24" t="n">
        <f aca="false">D10/B10-1</f>
        <v>1.78638941398866</v>
      </c>
      <c r="G10" s="3" t="s">
        <v>176</v>
      </c>
    </row>
    <row r="11" customFormat="false" ht="15" hidden="false" customHeight="true" outlineLevel="0" collapsed="false">
      <c r="A11" s="6" t="n">
        <v>15</v>
      </c>
      <c r="B11" s="9" t="n">
        <f aca="false">25+1*MAX(0,MIN(A11,20)-10)+2*MAX(0,MIN(A11,50)-20)+3*MAX(0,A11-50)+20+4.9*A11</f>
        <v>123.5</v>
      </c>
      <c r="C11" s="9" t="n">
        <f aca="false">30+1.5*MAX(0,MIN(A11,10)-5)+2*MAX(0,MIN(A11,15)-10)+2.5*MAX(0,MIN(A11,20)-15)+3*MAX(0,MIN(A11,25)-20)+3.5*MAX(0,MIN(A11,30)-25)+4*MAX(0,MIN(A11,35)-30)+4.5*MAX(0,MIN(A11,50)-35)+5*MAX(0,A11-50)+IF(A11&lt;=20,55,IF(A11&lt;=30,60,IF(A11&lt;=40,65,IF(A11&lt;=50,70,75))))+4.9*A11</f>
        <v>176</v>
      </c>
      <c r="D11" s="9" t="n">
        <f aca="false">30+3*MAX(0,MIN(A11,5)-2)+4*MAX(0,MIN(A11,9)-5)+4.5*MAX(0,MIN(A11,14)-9)+5.5*MAX(0,MIN(A11,20)-14)+6.5*MAX(0,MIN(A11,27)-20)+7.5*MAX(0,A11-27)+55+1.5*MAX(0,MIN(A11,8)-5)+2*MAX(0,MIN(A11,15)-8)+2.5*MAX(0,MIN(A11,20)-15)+3*MAX(0,MIN(A11,25)-20)+3.5*MAX(0,A11-25)+100+4.9*A11</f>
        <v>330</v>
      </c>
      <c r="E11" s="24" t="n">
        <f aca="false">C11/B11-1</f>
        <v>0.425101214574899</v>
      </c>
      <c r="F11" s="24" t="n">
        <f aca="false">D11/B11-1</f>
        <v>1.67206477732794</v>
      </c>
      <c r="G11" s="3"/>
    </row>
    <row r="12" customFormat="false" ht="15" hidden="false" customHeight="true" outlineLevel="0" collapsed="false">
      <c r="A12" s="6" t="n">
        <v>18</v>
      </c>
      <c r="B12" s="9" t="n">
        <f aca="false">25+1*MAX(0,MIN(A12,20)-10)+2*MAX(0,MIN(A12,50)-20)+3*MAX(0,A12-50)+20+4.9*A12</f>
        <v>141.2</v>
      </c>
      <c r="C12" s="9" t="n">
        <f aca="false">30+1.5*MAX(0,MIN(A12,10)-5)+2*MAX(0,MIN(A12,15)-10)+2.5*MAX(0,MIN(A12,20)-15)+3*MAX(0,MIN(A12,25)-20)+3.5*MAX(0,MIN(A12,30)-25)+4*MAX(0,MIN(A12,35)-30)+4.5*MAX(0,MIN(A12,50)-35)+5*MAX(0,A12-50)+IF(A12&lt;=20,55,IF(A12&lt;=30,60,IF(A12&lt;=40,65,IF(A12&lt;=50,70,75))))+4.9*A12</f>
        <v>198.2</v>
      </c>
      <c r="D12" s="9" t="n">
        <f aca="false">30+3*MAX(0,MIN(A12,5)-2)+4*MAX(0,MIN(A12,9)-5)+4.5*MAX(0,MIN(A12,14)-9)+5.5*MAX(0,MIN(A12,20)-14)+6.5*MAX(0,MIN(A12,27)-20)+7.5*MAX(0,A12-27)+55+1.5*MAX(0,MIN(A12,8)-5)+2*MAX(0,MIN(A12,15)-8)+2.5*MAX(0,MIN(A12,20)-15)+3*MAX(0,MIN(A12,25)-20)+3.5*MAX(0,A12-25)+100+4.9*A12</f>
        <v>368.7</v>
      </c>
      <c r="E12" s="24" t="n">
        <f aca="false">C12/B12-1</f>
        <v>0.403682719546742</v>
      </c>
      <c r="F12" s="24" t="n">
        <f aca="false">D12/B12-1</f>
        <v>1.61118980169972</v>
      </c>
      <c r="G12" s="3"/>
    </row>
    <row r="13" customFormat="false" ht="15" hidden="false" customHeight="true" outlineLevel="0" collapsed="false">
      <c r="A13" s="6" t="n">
        <v>20</v>
      </c>
      <c r="B13" s="9" t="n">
        <f aca="false">25+1*MAX(0,MIN(A13,20)-10)+2*MAX(0,MIN(A13,50)-20)+3*MAX(0,A13-50)+20+4.9*A13</f>
        <v>153</v>
      </c>
      <c r="C13" s="9" t="n">
        <f aca="false">30+1.5*MAX(0,MIN(A13,10)-5)+2*MAX(0,MIN(A13,15)-10)+2.5*MAX(0,MIN(A13,20)-15)+3*MAX(0,MIN(A13,25)-20)+3.5*MAX(0,MIN(A13,30)-25)+4*MAX(0,MIN(A13,35)-30)+4.5*MAX(0,MIN(A13,50)-35)+5*MAX(0,A13-50)+IF(A13&lt;=20,55,IF(A13&lt;=30,60,IF(A13&lt;=40,65,IF(A13&lt;=50,70,75))))+4.9*A13</f>
        <v>213</v>
      </c>
      <c r="D13" s="9" t="n">
        <f aca="false">30+3*MAX(0,MIN(A13,5)-2)+4*MAX(0,MIN(A13,9)-5)+4.5*MAX(0,MIN(A13,14)-9)+5.5*MAX(0,MIN(A13,20)-14)+6.5*MAX(0,MIN(A13,27)-20)+7.5*MAX(0,A13-27)+55+1.5*MAX(0,MIN(A13,8)-5)+2*MAX(0,MIN(A13,15)-8)+2.5*MAX(0,MIN(A13,20)-15)+3*MAX(0,MIN(A13,25)-20)+3.5*MAX(0,A13-25)+100+4.9*A13</f>
        <v>394.5</v>
      </c>
      <c r="E13" s="24" t="n">
        <f aca="false">C13/B13-1</f>
        <v>0.392156862745098</v>
      </c>
      <c r="F13" s="24" t="n">
        <f aca="false">D13/B13-1</f>
        <v>1.57843137254902</v>
      </c>
      <c r="G13" s="3"/>
    </row>
    <row r="14" customFormat="false" ht="15" hidden="false" customHeight="true" outlineLevel="0" collapsed="false">
      <c r="A14" s="6" t="n">
        <v>22</v>
      </c>
      <c r="B14" s="9" t="n">
        <f aca="false">25+1*MAX(0,MIN(A14,20)-10)+2*MAX(0,MIN(A14,50)-20)+3*MAX(0,A14-50)+20+4.9*A14</f>
        <v>166.8</v>
      </c>
      <c r="C14" s="9" t="n">
        <f aca="false">30+1.5*MAX(0,MIN(A14,10)-5)+2*MAX(0,MIN(A14,15)-10)+2.5*MAX(0,MIN(A14,20)-15)+3*MAX(0,MIN(A14,25)-20)+3.5*MAX(0,MIN(A14,30)-25)+4*MAX(0,MIN(A14,35)-30)+4.5*MAX(0,MIN(A14,50)-35)+5*MAX(0,A14-50)+IF(A14&lt;=20,55,IF(A14&lt;=30,60,IF(A14&lt;=40,65,IF(A14&lt;=50,70,75))))+4.9*A14</f>
        <v>233.8</v>
      </c>
      <c r="D14" s="9" t="n">
        <f aca="false">30+3*MAX(0,MIN(A14,5)-2)+4*MAX(0,MIN(A14,9)-5)+4.5*MAX(0,MIN(A14,14)-9)+5.5*MAX(0,MIN(A14,20)-14)+6.5*MAX(0,MIN(A14,27)-20)+7.5*MAX(0,A14-27)+55+1.5*MAX(0,MIN(A14,8)-5)+2*MAX(0,MIN(A14,15)-8)+2.5*MAX(0,MIN(A14,20)-15)+3*MAX(0,MIN(A14,25)-20)+3.5*MAX(0,A14-25)+100+4.9*A14</f>
        <v>423.3</v>
      </c>
      <c r="E14" s="24" t="n">
        <f aca="false">C14/B14-1</f>
        <v>0.401678657074341</v>
      </c>
      <c r="F14" s="24" t="n">
        <f aca="false">D14/B14-1</f>
        <v>1.53776978417266</v>
      </c>
      <c r="G14" s="3"/>
    </row>
    <row r="15" customFormat="false" ht="15" hidden="false" customHeight="true" outlineLevel="0" collapsed="false">
      <c r="A15" s="25" t="n">
        <v>24</v>
      </c>
      <c r="B15" s="26" t="n">
        <f aca="false">25+1*MAX(0,MIN(A15,20)-10)+2*MAX(0,MIN(A15,50)-20)+3*MAX(0,A15-50)+20+4.9*A15</f>
        <v>180.6</v>
      </c>
      <c r="C15" s="26" t="n">
        <f aca="false">30+1.5*MAX(0,MIN(A15,10)-5)+2*MAX(0,MIN(A15,15)-10)+2.5*MAX(0,MIN(A15,20)-15)+3*MAX(0,MIN(A15,25)-20)+3.5*MAX(0,MIN(A15,30)-25)+4*MAX(0,MIN(A15,35)-30)+4.5*MAX(0,MIN(A15,50)-35)+5*MAX(0,A15-50)+IF(A15&lt;=20,55,IF(A15&lt;=30,60,IF(A15&lt;=40,65,IF(A15&lt;=50,70,75))))+4.9*A15</f>
        <v>249.6</v>
      </c>
      <c r="D15" s="26" t="n">
        <f aca="false">30+3*MAX(0,MIN(A15,5)-2)+4*MAX(0,MIN(A15,9)-5)+4.5*MAX(0,MIN(A15,14)-9)+5.5*MAX(0,MIN(A15,20)-14)+6.5*MAX(0,MIN(A15,27)-20)+7.5*MAX(0,A15-27)+55+1.5*MAX(0,MIN(A15,8)-5)+2*MAX(0,MIN(A15,15)-8)+2.5*MAX(0,MIN(A15,20)-15)+3*MAX(0,MIN(A15,25)-20)+3.5*MAX(0,A15-25)+100+4.9*A15</f>
        <v>452.1</v>
      </c>
      <c r="E15" s="27" t="n">
        <f aca="false">C15/B15-1</f>
        <v>0.382059800664452</v>
      </c>
      <c r="F15" s="27" t="n">
        <f aca="false">D15/B15-1</f>
        <v>1.50332225913621</v>
      </c>
      <c r="G15" s="3" t="s">
        <v>177</v>
      </c>
    </row>
    <row r="16" customFormat="false" ht="15" hidden="false" customHeight="true" outlineLevel="0" collapsed="false">
      <c r="A16" s="6" t="n">
        <v>30</v>
      </c>
      <c r="B16" s="9" t="n">
        <f aca="false">25+1*MAX(0,MIN(A16,20)-10)+2*MAX(0,MIN(A16,50)-20)+3*MAX(0,A16-50)+20+4.9*A16</f>
        <v>222</v>
      </c>
      <c r="C16" s="9" t="n">
        <f aca="false">30+1.5*MAX(0,MIN(A16,10)-5)+2*MAX(0,MIN(A16,15)-10)+2.5*MAX(0,MIN(A16,20)-15)+3*MAX(0,MIN(A16,25)-20)+3.5*MAX(0,MIN(A16,30)-25)+4*MAX(0,MIN(A16,35)-30)+4.5*MAX(0,MIN(A16,50)-35)+5*MAX(0,A16-50)+IF(A16&lt;=20,55,IF(A16&lt;=30,60,IF(A16&lt;=40,65,IF(A16&lt;=50,70,75))))+4.9*A16</f>
        <v>299.5</v>
      </c>
      <c r="D16" s="9" t="n">
        <f aca="false">30+3*MAX(0,MIN(A16,5)-2)+4*MAX(0,MIN(A16,9)-5)+4.5*MAX(0,MIN(A16,14)-9)+5.5*MAX(0,MIN(A16,20)-14)+6.5*MAX(0,MIN(A16,27)-20)+7.5*MAX(0,A16-27)+55+1.5*MAX(0,MIN(A16,8)-5)+2*MAX(0,MIN(A16,15)-8)+2.5*MAX(0,MIN(A16,20)-15)+3*MAX(0,MIN(A16,25)-20)+3.5*MAX(0,A16-25)+100+4.9*A16</f>
        <v>544</v>
      </c>
      <c r="E16" s="24" t="n">
        <f aca="false">C16/B16-1</f>
        <v>0.349099099099099</v>
      </c>
      <c r="F16" s="24" t="n">
        <f aca="false">D16/B16-1</f>
        <v>1.45045045045045</v>
      </c>
      <c r="G16" s="3"/>
    </row>
    <row r="18" customFormat="false" ht="15" hidden="false" customHeight="true" outlineLevel="0" collapsed="false">
      <c r="A18" s="3" t="s">
        <v>178</v>
      </c>
    </row>
    <row r="19" customFormat="false" ht="15" hidden="false" customHeight="true" outlineLevel="0" collapsed="false">
      <c r="A19" s="3" t="s">
        <v>179</v>
      </c>
    </row>
    <row r="21" customFormat="false" ht="15" hidden="false" customHeight="true" outlineLevel="0" collapsed="false">
      <c r="A21" s="10" t="s">
        <v>180</v>
      </c>
    </row>
    <row r="22" customFormat="false" ht="15" hidden="false" customHeight="true" outlineLevel="0" collapsed="false">
      <c r="A22" s="19" t="s">
        <v>181</v>
      </c>
      <c r="B22" s="19" t="s">
        <v>182</v>
      </c>
      <c r="C22" s="19" t="s">
        <v>183</v>
      </c>
    </row>
    <row r="23" customFormat="false" ht="15" hidden="false" customHeight="true" outlineLevel="0" collapsed="false">
      <c r="A23" s="5" t="s">
        <v>184</v>
      </c>
      <c r="B23" s="6" t="n">
        <v>38</v>
      </c>
      <c r="C23" s="18" t="n">
        <f aca="false">B23/679</f>
        <v>0.0559646539027982</v>
      </c>
    </row>
    <row r="24" customFormat="false" ht="15" hidden="false" customHeight="true" outlineLevel="0" collapsed="false">
      <c r="A24" s="5" t="s">
        <v>185</v>
      </c>
      <c r="B24" s="6" t="n">
        <v>142</v>
      </c>
      <c r="C24" s="18" t="n">
        <f aca="false">B24/679</f>
        <v>0.209131075110457</v>
      </c>
    </row>
    <row r="25" customFormat="false" ht="15" hidden="false" customHeight="true" outlineLevel="0" collapsed="false">
      <c r="A25" s="5" t="s">
        <v>186</v>
      </c>
      <c r="B25" s="6" t="n">
        <v>200</v>
      </c>
      <c r="C25" s="18" t="n">
        <f aca="false">B25/679</f>
        <v>0.294550810014728</v>
      </c>
    </row>
    <row r="26" customFormat="false" ht="15" hidden="false" customHeight="true" outlineLevel="0" collapsed="false">
      <c r="A26" s="5" t="s">
        <v>187</v>
      </c>
      <c r="B26" s="6" t="n">
        <v>158</v>
      </c>
      <c r="C26" s="18" t="n">
        <f aca="false">B26/679</f>
        <v>0.232695139911635</v>
      </c>
    </row>
    <row r="27" customFormat="false" ht="15" hidden="false" customHeight="true" outlineLevel="0" collapsed="false">
      <c r="A27" s="5" t="s">
        <v>188</v>
      </c>
      <c r="B27" s="6" t="n">
        <v>84</v>
      </c>
      <c r="C27" s="18" t="n">
        <f aca="false">B27/679</f>
        <v>0.123711340206186</v>
      </c>
    </row>
    <row r="28" customFormat="false" ht="15" hidden="false" customHeight="true" outlineLevel="0" collapsed="false">
      <c r="A28" s="5" t="s">
        <v>189</v>
      </c>
      <c r="B28" s="6" t="n">
        <v>37</v>
      </c>
      <c r="C28" s="18" t="n">
        <f aca="false">B28/679</f>
        <v>0.0544918998527246</v>
      </c>
    </row>
    <row r="29" customFormat="false" ht="15" hidden="false" customHeight="true" outlineLevel="0" collapsed="false">
      <c r="A29" s="5" t="s">
        <v>190</v>
      </c>
      <c r="B29" s="6" t="n">
        <v>11</v>
      </c>
      <c r="C29" s="18" t="n">
        <f aca="false">B29/679</f>
        <v>0.01620029455081</v>
      </c>
    </row>
    <row r="30" customFormat="false" ht="15" hidden="false" customHeight="true" outlineLevel="0" collapsed="false">
      <c r="A30" s="5" t="s">
        <v>191</v>
      </c>
      <c r="B30" s="6" t="n">
        <v>4</v>
      </c>
      <c r="C30" s="18" t="n">
        <f aca="false">B30/679</f>
        <v>0.00589101620029455</v>
      </c>
    </row>
    <row r="31" customFormat="false" ht="15" hidden="false" customHeight="true" outlineLevel="0" collapsed="false">
      <c r="A31" s="5" t="s">
        <v>192</v>
      </c>
      <c r="B31" s="6" t="n">
        <v>5</v>
      </c>
      <c r="C31" s="18" t="n">
        <f aca="false">B31/679</f>
        <v>0.00736377025036819</v>
      </c>
    </row>
    <row r="33" customFormat="false" ht="15" hidden="false" customHeight="true" outlineLevel="0" collapsed="false">
      <c r="A33" s="21" t="s">
        <v>193</v>
      </c>
    </row>
    <row r="34" customFormat="false" ht="15" hidden="false" customHeight="true" outlineLevel="0" collapsed="false">
      <c r="A34" s="21" t="s">
        <v>194</v>
      </c>
    </row>
    <row r="35" customFormat="false" ht="15" hidden="false" customHeight="true" outlineLevel="0" collapsed="false">
      <c r="A35" s="3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1"/>
    <col collapsed="false" customWidth="true" hidden="false" outlineLevel="0" max="4" min="4" style="1" width="34"/>
    <col collapsed="false" customWidth="true" hidden="false" outlineLevel="0" max="6" min="5" style="1" width="11"/>
    <col collapsed="false" customWidth="true" hidden="false" outlineLevel="0" max="7" min="7" style="1" width="40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1" min="10" style="1" width="12"/>
  </cols>
  <sheetData>
    <row r="1" customFormat="false" ht="17.25" hidden="false" customHeight="true" outlineLevel="0" collapsed="false">
      <c r="A1" s="2" t="s">
        <v>196</v>
      </c>
    </row>
    <row r="2" customFormat="false" ht="15" hidden="false" customHeight="true" outlineLevel="0" collapsed="false">
      <c r="A2" s="3" t="s">
        <v>197</v>
      </c>
    </row>
    <row r="4" customFormat="false" ht="15" hidden="false" customHeight="true" outlineLevel="0" collapsed="false">
      <c r="A4" s="10" t="s">
        <v>198</v>
      </c>
      <c r="D4" s="10" t="s">
        <v>199</v>
      </c>
    </row>
    <row r="5" customFormat="false" ht="15" hidden="false" customHeight="true" outlineLevel="0" collapsed="false">
      <c r="A5" s="5" t="s">
        <v>200</v>
      </c>
      <c r="B5" s="8" t="n">
        <v>15</v>
      </c>
      <c r="D5" s="19" t="s">
        <v>181</v>
      </c>
      <c r="E5" s="19" t="s">
        <v>201</v>
      </c>
      <c r="F5" s="19" t="s">
        <v>202</v>
      </c>
      <c r="G5" s="19" t="s">
        <v>203</v>
      </c>
      <c r="H5" s="19" t="s">
        <v>204</v>
      </c>
      <c r="I5" s="19" t="s">
        <v>205</v>
      </c>
    </row>
    <row r="6" customFormat="false" ht="15" hidden="false" customHeight="true" outlineLevel="0" collapsed="false">
      <c r="A6" s="5" t="s">
        <v>206</v>
      </c>
      <c r="B6" s="8" t="n">
        <v>0.85</v>
      </c>
      <c r="D6" s="5" t="s">
        <v>184</v>
      </c>
      <c r="E6" s="6" t="n">
        <v>4</v>
      </c>
      <c r="F6" s="6" t="n">
        <v>38</v>
      </c>
      <c r="G6" s="9" t="n">
        <f aca="false">25+1*MAX(0,MIN($E6,20)-10)+2*MAX(0,MIN($E6,50)-20)+3*MAX(0,$E6-50)+20</f>
        <v>45</v>
      </c>
      <c r="H6" s="9" t="n">
        <f aca="false">30+1.5*MAX(0,MIN($E6,10)-5)+2*MAX(0,MIN($E6,15)-10)+2.5*MAX(0,MIN($E6,20)-15)+3*MAX(0,MIN($E6,25)-20)+3.5*MAX(0,MIN($E6,30)-25)+4*MAX(0,MIN($E6,35)-30)+4.5*MAX(0,MIN($E6,50)-35)+5*MAX(0,$E6-50)+IF($E6&lt;=20,55,IF($E6&lt;=30,60,IF($E6&lt;=40,65,IF($E6&lt;=50,70,75))))</f>
        <v>85</v>
      </c>
      <c r="I6" s="9" t="n">
        <f aca="false">$B$5+$B$6*MAX(0,MIN($E6,10)-3)+$B$7*MAX(0,MIN($E6,15)-10)+$B$8*MAX(0,MIN($E6,20)-15)+$B$9*MAX(0,MIN($E6,30)-20)+$B$10*MAX(0,$E6-30)+$B$11+$B$12*MIN(MAX($E6-3,0),$B$13-3)</f>
        <v>47.1</v>
      </c>
    </row>
    <row r="7" customFormat="false" ht="15" hidden="false" customHeight="true" outlineLevel="0" collapsed="false">
      <c r="A7" s="5" t="s">
        <v>207</v>
      </c>
      <c r="B7" s="8" t="n">
        <v>1.7</v>
      </c>
      <c r="D7" s="5" t="s">
        <v>185</v>
      </c>
      <c r="E7" s="6" t="n">
        <v>8</v>
      </c>
      <c r="F7" s="6" t="n">
        <v>142</v>
      </c>
      <c r="G7" s="9" t="n">
        <f aca="false">25+1*MAX(0,MIN($E7,20)-10)+2*MAX(0,MIN($E7,50)-20)+3*MAX(0,$E7-50)+20</f>
        <v>45</v>
      </c>
      <c r="H7" s="9" t="n">
        <f aca="false">30+1.5*MAX(0,MIN($E7,10)-5)+2*MAX(0,MIN($E7,15)-10)+2.5*MAX(0,MIN($E7,20)-15)+3*MAX(0,MIN($E7,25)-20)+3.5*MAX(0,MIN($E7,30)-25)+4*MAX(0,MIN($E7,35)-30)+4.5*MAX(0,MIN($E7,50)-35)+5*MAX(0,$E7-50)+IF($E7&lt;=20,55,IF($E7&lt;=30,60,IF($E7&lt;=40,65,IF($E7&lt;=50,70,75))))</f>
        <v>89.5</v>
      </c>
      <c r="I7" s="9" t="n">
        <f aca="false">$B$5+$B$6*MAX(0,MIN($E7,10)-3)+$B$7*MAX(0,MIN($E7,15)-10)+$B$8*MAX(0,MIN($E7,20)-15)+$B$9*MAX(0,MIN($E7,30)-20)+$B$10*MAX(0,$E7-30)+$B$11+$B$12*MIN(MAX($E7-3,0),$B$13-3)</f>
        <v>55.5</v>
      </c>
    </row>
    <row r="8" customFormat="false" ht="15" hidden="false" customHeight="true" outlineLevel="0" collapsed="false">
      <c r="A8" s="5" t="s">
        <v>208</v>
      </c>
      <c r="B8" s="8" t="n">
        <v>3</v>
      </c>
      <c r="D8" s="5" t="s">
        <v>186</v>
      </c>
      <c r="E8" s="6" t="n">
        <v>12.5</v>
      </c>
      <c r="F8" s="6" t="n">
        <v>200</v>
      </c>
      <c r="G8" s="9" t="n">
        <f aca="false">25+1*MAX(0,MIN($E8,20)-10)+2*MAX(0,MIN($E8,50)-20)+3*MAX(0,$E8-50)+20</f>
        <v>47.5</v>
      </c>
      <c r="H8" s="9" t="n">
        <f aca="false">30+1.5*MAX(0,MIN($E8,10)-5)+2*MAX(0,MIN($E8,15)-10)+2.5*MAX(0,MIN($E8,20)-15)+3*MAX(0,MIN($E8,25)-20)+3.5*MAX(0,MIN($E8,30)-25)+4*MAX(0,MIN($E8,35)-30)+4.5*MAX(0,MIN($E8,50)-35)+5*MAX(0,$E8-50)+IF($E8&lt;=20,55,IF($E8&lt;=30,60,IF($E8&lt;=40,65,IF($E8&lt;=50,70,75))))</f>
        <v>97.5</v>
      </c>
      <c r="I8" s="9" t="n">
        <f aca="false">$B$5+$B$6*MAX(0,MIN($E8,10)-3)+$B$7*MAX(0,MIN($E8,15)-10)+$B$8*MAX(0,MIN($E8,20)-15)+$B$9*MAX(0,MIN($E8,30)-20)+$B$10*MAX(0,$E8-30)+$B$11+$B$12*MIN(MAX($E8-3,0),$B$13-3)</f>
        <v>67.075</v>
      </c>
    </row>
    <row r="9" customFormat="false" ht="15" hidden="false" customHeight="true" outlineLevel="0" collapsed="false">
      <c r="A9" s="5" t="s">
        <v>209</v>
      </c>
      <c r="B9" s="8" t="n">
        <v>6</v>
      </c>
      <c r="D9" s="5" t="s">
        <v>187</v>
      </c>
      <c r="E9" s="6" t="n">
        <v>17.5</v>
      </c>
      <c r="F9" s="6" t="n">
        <v>158</v>
      </c>
      <c r="G9" s="9" t="n">
        <f aca="false">25+1*MAX(0,MIN($E9,20)-10)+2*MAX(0,MIN($E9,50)-20)+3*MAX(0,$E9-50)+20</f>
        <v>52.5</v>
      </c>
      <c r="H9" s="9" t="n">
        <f aca="false">30+1.5*MAX(0,MIN($E9,10)-5)+2*MAX(0,MIN($E9,15)-10)+2.5*MAX(0,MIN($E9,20)-15)+3*MAX(0,MIN($E9,25)-20)+3.5*MAX(0,MIN($E9,30)-25)+4*MAX(0,MIN($E9,35)-30)+4.5*MAX(0,MIN($E9,50)-35)+5*MAX(0,$E9-50)+IF($E9&lt;=20,55,IF($E9&lt;=30,60,IF($E9&lt;=40,65,IF($E9&lt;=50,70,75))))</f>
        <v>108.75</v>
      </c>
      <c r="I9" s="9" t="n">
        <f aca="false">$B$5+$B$6*MAX(0,MIN($E9,10)-3)+$B$7*MAX(0,MIN($E9,15)-10)+$B$8*MAX(0,MIN($E9,20)-15)+$B$9*MAX(0,MIN($E9,30)-20)+$B$10*MAX(0,$E9-30)+$B$11+$B$12*MIN(MAX($E9-3,0),$B$13-3)</f>
        <v>81.95</v>
      </c>
    </row>
    <row r="10" customFormat="false" ht="15" hidden="false" customHeight="true" outlineLevel="0" collapsed="false">
      <c r="A10" s="5" t="s">
        <v>210</v>
      </c>
      <c r="B10" s="8" t="n">
        <v>8</v>
      </c>
      <c r="D10" s="5" t="s">
        <v>188</v>
      </c>
      <c r="E10" s="6" t="n">
        <v>22.5</v>
      </c>
      <c r="F10" s="6" t="n">
        <v>84</v>
      </c>
      <c r="G10" s="9" t="n">
        <f aca="false">25+1*MAX(0,MIN($E10,20)-10)+2*MAX(0,MIN($E10,50)-20)+3*MAX(0,$E10-50)+20</f>
        <v>60</v>
      </c>
      <c r="H10" s="9" t="n">
        <f aca="false">30+1.5*MAX(0,MIN($E10,10)-5)+2*MAX(0,MIN($E10,15)-10)+2.5*MAX(0,MIN($E10,20)-15)+3*MAX(0,MIN($E10,25)-20)+3.5*MAX(0,MIN($E10,30)-25)+4*MAX(0,MIN($E10,35)-30)+4.5*MAX(0,MIN($E10,50)-35)+5*MAX(0,$E10-50)+IF($E10&lt;=20,55,IF($E10&lt;=30,60,IF($E10&lt;=40,65,IF($E10&lt;=50,70,75))))</f>
        <v>127.5</v>
      </c>
      <c r="I10" s="9" t="n">
        <f aca="false">$B$5+$B$6*MAX(0,MIN($E10,10)-3)+$B$7*MAX(0,MIN($E10,15)-10)+$B$8*MAX(0,MIN($E10,20)-15)+$B$9*MAX(0,MIN($E10,30)-20)+$B$10*MAX(0,$E10-30)+$B$11+$B$12*MIN(MAX($E10-3,0),$B$13-3)</f>
        <v>104.45</v>
      </c>
    </row>
    <row r="11" customFormat="false" ht="15" hidden="false" customHeight="true" outlineLevel="0" collapsed="false">
      <c r="A11" s="5" t="s">
        <v>211</v>
      </c>
      <c r="B11" s="8" t="n">
        <v>30</v>
      </c>
      <c r="D11" s="5" t="s">
        <v>189</v>
      </c>
      <c r="E11" s="6" t="n">
        <v>27.5</v>
      </c>
      <c r="F11" s="6" t="n">
        <v>37</v>
      </c>
      <c r="G11" s="9" t="n">
        <f aca="false">25+1*MAX(0,MIN($E11,20)-10)+2*MAX(0,MIN($E11,50)-20)+3*MAX(0,$E11-50)+20</f>
        <v>70</v>
      </c>
      <c r="H11" s="9" t="n">
        <f aca="false">30+1.5*MAX(0,MIN($E11,10)-5)+2*MAX(0,MIN($E11,15)-10)+2.5*MAX(0,MIN($E11,20)-15)+3*MAX(0,MIN($E11,25)-20)+3.5*MAX(0,MIN($E11,30)-25)+4*MAX(0,MIN($E11,35)-30)+4.5*MAX(0,MIN($E11,50)-35)+5*MAX(0,$E11-50)+IF($E11&lt;=20,55,IF($E11&lt;=30,60,IF($E11&lt;=40,65,IF($E11&lt;=50,70,75))))</f>
        <v>143.75</v>
      </c>
      <c r="I11" s="9" t="n">
        <f aca="false">$B$5+$B$6*MAX(0,MIN($E11,10)-3)+$B$7*MAX(0,MIN($E11,15)-10)+$B$8*MAX(0,MIN($E11,20)-15)+$B$9*MAX(0,MIN($E11,30)-20)+$B$10*MAX(0,$E11-30)+$B$11+$B$12*MIN(MAX($E11-3,0),$B$13-3)</f>
        <v>134.45</v>
      </c>
    </row>
    <row r="12" customFormat="false" ht="15" hidden="false" customHeight="true" outlineLevel="0" collapsed="false">
      <c r="A12" s="5" t="s">
        <v>212</v>
      </c>
      <c r="B12" s="8" t="n">
        <v>1.25</v>
      </c>
      <c r="D12" s="5" t="s">
        <v>190</v>
      </c>
      <c r="E12" s="6" t="n">
        <v>35</v>
      </c>
      <c r="F12" s="6" t="n">
        <v>11</v>
      </c>
      <c r="G12" s="9" t="n">
        <f aca="false">25+1*MAX(0,MIN($E12,20)-10)+2*MAX(0,MIN($E12,50)-20)+3*MAX(0,$E12-50)+20</f>
        <v>85</v>
      </c>
      <c r="H12" s="9" t="n">
        <f aca="false">30+1.5*MAX(0,MIN($E12,10)-5)+2*MAX(0,MIN($E12,15)-10)+2.5*MAX(0,MIN($E12,20)-15)+3*MAX(0,MIN($E12,25)-20)+3.5*MAX(0,MIN($E12,30)-25)+4*MAX(0,MIN($E12,35)-30)+4.5*MAX(0,MIN($E12,50)-35)+5*MAX(0,$E12-50)+IF($E12&lt;=20,55,IF($E12&lt;=30,60,IF($E12&lt;=40,65,IF($E12&lt;=50,70,75))))</f>
        <v>177.5</v>
      </c>
      <c r="I12" s="9" t="n">
        <f aca="false">$B$5+$B$6*MAX(0,MIN($E12,10)-3)+$B$7*MAX(0,MIN($E12,15)-10)+$B$8*MAX(0,MIN($E12,20)-15)+$B$9*MAX(0,MIN($E12,30)-20)+$B$10*MAX(0,$E12-30)+$B$11+$B$12*MIN(MAX($E12-3,0),$B$13-3)</f>
        <v>189.45</v>
      </c>
    </row>
    <row r="13" customFormat="false" ht="15" hidden="false" customHeight="true" outlineLevel="0" collapsed="false">
      <c r="A13" s="5" t="s">
        <v>213</v>
      </c>
      <c r="B13" s="8" t="n">
        <v>15</v>
      </c>
      <c r="D13" s="5" t="s">
        <v>191</v>
      </c>
      <c r="E13" s="6" t="n">
        <v>45</v>
      </c>
      <c r="F13" s="6" t="n">
        <v>4</v>
      </c>
      <c r="G13" s="9" t="n">
        <f aca="false">25+1*MAX(0,MIN($E13,20)-10)+2*MAX(0,MIN($E13,50)-20)+3*MAX(0,$E13-50)+20</f>
        <v>105</v>
      </c>
      <c r="H13" s="9" t="n">
        <f aca="false">30+1.5*MAX(0,MIN($E13,10)-5)+2*MAX(0,MIN($E13,15)-10)+2.5*MAX(0,MIN($E13,20)-15)+3*MAX(0,MIN($E13,25)-20)+3.5*MAX(0,MIN($E13,30)-25)+4*MAX(0,MIN($E13,35)-30)+4.5*MAX(0,MIN($E13,50)-35)+5*MAX(0,$E13-50)+IF($E13&lt;=20,55,IF($E13&lt;=30,60,IF($E13&lt;=40,65,IF($E13&lt;=50,70,75))))</f>
        <v>227.5</v>
      </c>
      <c r="I13" s="9" t="n">
        <f aca="false">$B$5+$B$6*MAX(0,MIN($E13,10)-3)+$B$7*MAX(0,MIN($E13,15)-10)+$B$8*MAX(0,MIN($E13,20)-15)+$B$9*MAX(0,MIN($E13,30)-20)+$B$10*MAX(0,$E13-30)+$B$11+$B$12*MIN(MAX($E13-3,0),$B$13-3)</f>
        <v>269.45</v>
      </c>
    </row>
    <row r="14" customFormat="false" ht="15" hidden="false" customHeight="true" outlineLevel="0" collapsed="false">
      <c r="A14" s="5" t="s">
        <v>214</v>
      </c>
      <c r="B14" s="28" t="n">
        <v>0.045</v>
      </c>
      <c r="D14" s="5" t="s">
        <v>192</v>
      </c>
      <c r="E14" s="6" t="n">
        <v>55</v>
      </c>
      <c r="F14" s="6" t="n">
        <v>5</v>
      </c>
      <c r="G14" s="9" t="n">
        <f aca="false">25+1*MAX(0,MIN($E14,20)-10)+2*MAX(0,MIN($E14,50)-20)+3*MAX(0,$E14-50)+20</f>
        <v>130</v>
      </c>
      <c r="H14" s="9" t="n">
        <f aca="false">30+1.5*MAX(0,MIN($E14,10)-5)+2*MAX(0,MIN($E14,15)-10)+2.5*MAX(0,MIN($E14,20)-15)+3*MAX(0,MIN($E14,25)-20)+3.5*MAX(0,MIN($E14,30)-25)+4*MAX(0,MIN($E14,35)-30)+4.5*MAX(0,MIN($E14,50)-35)+5*MAX(0,$E14-50)+IF($E14&lt;=20,55,IF($E14&lt;=30,60,IF($E14&lt;=40,65,IF($E14&lt;=50,70,75))))</f>
        <v>280</v>
      </c>
      <c r="I14" s="9" t="n">
        <f aca="false">$B$5+$B$6*MAX(0,MIN($E14,10)-3)+$B$7*MAX(0,MIN($E14,15)-10)+$B$8*MAX(0,MIN($E14,20)-15)+$B$9*MAX(0,MIN($E14,30)-20)+$B$10*MAX(0,$E14-30)+$B$11+$B$12*MIN(MAX($E14-3,0),$B$13-3)</f>
        <v>349.45</v>
      </c>
    </row>
    <row r="15" customFormat="false" ht="15" hidden="false" customHeight="true" outlineLevel="0" collapsed="false">
      <c r="A15" s="5" t="s">
        <v>215</v>
      </c>
      <c r="B15" s="29" t="n">
        <v>0.25</v>
      </c>
      <c r="D15" s="10" t="s">
        <v>216</v>
      </c>
      <c r="G15" s="30" t="n">
        <f aca="false">SUMPRODUCT($F$6:$F$14,G6:G14)*12</f>
        <v>426360</v>
      </c>
      <c r="H15" s="30" t="n">
        <f aca="false">SUMPRODUCT($F$6:$F$14,H6:H14)*12</f>
        <v>874953</v>
      </c>
      <c r="I15" s="30" t="n">
        <f aca="false">SUMPRODUCT($F$6:$F$14,I6:I14)*12</f>
        <v>656296.2</v>
      </c>
    </row>
    <row r="16" customFormat="false" ht="15" hidden="false" customHeight="true" outlineLevel="0" collapsed="false">
      <c r="D16" s="5" t="s">
        <v>217</v>
      </c>
      <c r="H16" s="31" t="n">
        <f aca="false">4947.5*12</f>
        <v>59370</v>
      </c>
      <c r="I16" s="31" t="n">
        <f aca="false">4947.5*12*(1+$B$15)</f>
        <v>74212.5</v>
      </c>
    </row>
    <row r="17" customFormat="false" ht="15" hidden="false" customHeight="true" outlineLevel="0" collapsed="false">
      <c r="D17" s="5" t="s">
        <v>218</v>
      </c>
      <c r="I17" s="31" t="n">
        <f aca="false">466651883/100*$B$14*0.98</f>
        <v>205793.480403</v>
      </c>
    </row>
    <row r="18" customFormat="false" ht="15" hidden="false" customHeight="true" outlineLevel="0" collapsed="false">
      <c r="D18" s="10" t="s">
        <v>80</v>
      </c>
      <c r="H18" s="30" t="n">
        <f aca="false">H15+H16</f>
        <v>934323</v>
      </c>
      <c r="I18" s="30" t="n">
        <f aca="false">I15+I16+I17</f>
        <v>936302.180403</v>
      </c>
      <c r="J18" s="32" t="n">
        <f aca="false">I18-H18</f>
        <v>1979.18040299998</v>
      </c>
      <c r="K18" s="3" t="s">
        <v>219</v>
      </c>
    </row>
    <row r="21" customFormat="false" ht="15" hidden="false" customHeight="true" outlineLevel="0" collapsed="false">
      <c r="A21" s="10" t="s">
        <v>220</v>
      </c>
    </row>
    <row r="22" customFormat="false" ht="15" hidden="false" customHeight="true" outlineLevel="0" collapsed="false">
      <c r="A22" s="19" t="s">
        <v>221</v>
      </c>
      <c r="B22" s="19" t="s">
        <v>222</v>
      </c>
      <c r="C22" s="19" t="s">
        <v>223</v>
      </c>
      <c r="D22" s="19" t="s">
        <v>224</v>
      </c>
      <c r="E22" s="19" t="s">
        <v>225</v>
      </c>
      <c r="F22" s="19" t="s">
        <v>226</v>
      </c>
      <c r="G22" s="19" t="s">
        <v>227</v>
      </c>
    </row>
    <row r="23" customFormat="false" ht="15" hidden="false" customHeight="true" outlineLevel="0" collapsed="false">
      <c r="A23" s="6" t="n">
        <v>4</v>
      </c>
      <c r="B23" s="9" t="n">
        <f aca="false">25+1*MAX(0,MIN($A23,20)-10)+2*MAX(0,MIN($A23,50)-20)+3*MAX(0,$A23-50)+20</f>
        <v>45</v>
      </c>
      <c r="C23" s="9" t="n">
        <f aca="false">30+1.5*MAX(0,MIN($A23,10)-5)+2*MAX(0,MIN($A23,15)-10)+2.5*MAX(0,MIN($A23,20)-15)+3*MAX(0,MIN($A23,25)-20)+3.5*MAX(0,MIN($A23,30)-25)+4*MAX(0,MIN($A23,35)-30)+4.5*MAX(0,MIN($A23,50)-35)+5*MAX(0,$A23-50)+IF($A23&lt;=20,55,IF($A23&lt;=30,60,IF($A23&lt;=40,65,IF($A23&lt;=50,70,75))))</f>
        <v>85</v>
      </c>
      <c r="D23" s="9" t="n">
        <f aca="false">$B$5+$B$6*MAX(0,MIN($A23,10)-3)+$B$7*MAX(0,MIN($A23,15)-10)+$B$8*MAX(0,MIN($A23,20)-15)+$B$9*MAX(0,MIN($A23,30)-20)+$B$10*MAX(0,$A23-30)+$B$11+$B$12*MIN(MAX($A23-3,0),$B$13-3)</f>
        <v>47.1</v>
      </c>
      <c r="E23" s="24" t="n">
        <f aca="false">C23/B23-1</f>
        <v>0.888888888888889</v>
      </c>
      <c r="F23" s="24" t="n">
        <f aca="false">D23/B23-1</f>
        <v>0.0466666666666666</v>
      </c>
      <c r="G23" s="3" t="s">
        <v>228</v>
      </c>
    </row>
    <row r="24" customFormat="false" ht="15" hidden="false" customHeight="true" outlineLevel="0" collapsed="false">
      <c r="A24" s="25" t="n">
        <v>7</v>
      </c>
      <c r="B24" s="26" t="n">
        <f aca="false">25+1*MAX(0,MIN($A24,20)-10)+2*MAX(0,MIN($A24,50)-20)+3*MAX(0,$A24-50)+20</f>
        <v>45</v>
      </c>
      <c r="C24" s="26" t="n">
        <f aca="false">30+1.5*MAX(0,MIN($A24,10)-5)+2*MAX(0,MIN($A24,15)-10)+2.5*MAX(0,MIN($A24,20)-15)+3*MAX(0,MIN($A24,25)-20)+3.5*MAX(0,MIN($A24,30)-25)+4*MAX(0,MIN($A24,35)-30)+4.5*MAX(0,MIN($A24,50)-35)+5*MAX(0,$A24-50)+IF($A24&lt;=20,55,IF($A24&lt;=30,60,IF($A24&lt;=40,65,IF($A24&lt;=50,70,75))))</f>
        <v>88</v>
      </c>
      <c r="D24" s="26" t="n">
        <f aca="false">$B$5+$B$6*MAX(0,MIN($A24,10)-3)+$B$7*MAX(0,MIN($A24,15)-10)+$B$8*MAX(0,MIN($A24,20)-15)+$B$9*MAX(0,MIN($A24,30)-20)+$B$10*MAX(0,$A24-30)+$B$11+$B$12*MIN(MAX($A24-3,0),$B$13-3)</f>
        <v>53.4</v>
      </c>
      <c r="E24" s="27" t="n">
        <f aca="false">C24/B24-1</f>
        <v>0.955555555555556</v>
      </c>
      <c r="F24" s="27" t="n">
        <f aca="false">D24/B24-1</f>
        <v>0.186666666666667</v>
      </c>
      <c r="G24" s="3" t="s">
        <v>229</v>
      </c>
    </row>
    <row r="25" customFormat="false" ht="15" hidden="false" customHeight="true" outlineLevel="0" collapsed="false">
      <c r="A25" s="6" t="n">
        <v>8</v>
      </c>
      <c r="B25" s="9" t="n">
        <f aca="false">25+1*MAX(0,MIN($A25,20)-10)+2*MAX(0,MIN($A25,50)-20)+3*MAX(0,$A25-50)+20</f>
        <v>45</v>
      </c>
      <c r="C25" s="9" t="n">
        <f aca="false">30+1.5*MAX(0,MIN($A25,10)-5)+2*MAX(0,MIN($A25,15)-10)+2.5*MAX(0,MIN($A25,20)-15)+3*MAX(0,MIN($A25,25)-20)+3.5*MAX(0,MIN($A25,30)-25)+4*MAX(0,MIN($A25,35)-30)+4.5*MAX(0,MIN($A25,50)-35)+5*MAX(0,$A25-50)+IF($A25&lt;=20,55,IF($A25&lt;=30,60,IF($A25&lt;=40,65,IF($A25&lt;=50,70,75))))</f>
        <v>89.5</v>
      </c>
      <c r="D25" s="9" t="n">
        <f aca="false">$B$5+$B$6*MAX(0,MIN($A25,10)-3)+$B$7*MAX(0,MIN($A25,15)-10)+$B$8*MAX(0,MIN($A25,20)-15)+$B$9*MAX(0,MIN($A25,30)-20)+$B$10*MAX(0,$A25-30)+$B$11+$B$12*MIN(MAX($A25-3,0),$B$13-3)</f>
        <v>55.5</v>
      </c>
      <c r="E25" s="24" t="n">
        <f aca="false">C25/B25-1</f>
        <v>0.988888888888889</v>
      </c>
      <c r="F25" s="24" t="n">
        <f aca="false">D25/B25-1</f>
        <v>0.233333333333333</v>
      </c>
      <c r="G25" s="3" t="s">
        <v>230</v>
      </c>
    </row>
    <row r="26" customFormat="false" ht="15" hidden="false" customHeight="true" outlineLevel="0" collapsed="false">
      <c r="A26" s="6" t="n">
        <v>12.5</v>
      </c>
      <c r="B26" s="9" t="n">
        <f aca="false">25+1*MAX(0,MIN($A26,20)-10)+2*MAX(0,MIN($A26,50)-20)+3*MAX(0,$A26-50)+20</f>
        <v>47.5</v>
      </c>
      <c r="C26" s="9" t="n">
        <f aca="false">30+1.5*MAX(0,MIN($A26,10)-5)+2*MAX(0,MIN($A26,15)-10)+2.5*MAX(0,MIN($A26,20)-15)+3*MAX(0,MIN($A26,25)-20)+3.5*MAX(0,MIN($A26,30)-25)+4*MAX(0,MIN($A26,35)-30)+4.5*MAX(0,MIN($A26,50)-35)+5*MAX(0,$A26-50)+IF($A26&lt;=20,55,IF($A26&lt;=30,60,IF($A26&lt;=40,65,IF($A26&lt;=50,70,75))))</f>
        <v>97.5</v>
      </c>
      <c r="D26" s="9" t="n">
        <f aca="false">$B$5+$B$6*MAX(0,MIN($A26,10)-3)+$B$7*MAX(0,MIN($A26,15)-10)+$B$8*MAX(0,MIN($A26,20)-15)+$B$9*MAX(0,MIN($A26,30)-20)+$B$10*MAX(0,$A26-30)+$B$11+$B$12*MIN(MAX($A26-3,0),$B$13-3)</f>
        <v>67.075</v>
      </c>
      <c r="E26" s="24" t="n">
        <f aca="false">C26/B26-1</f>
        <v>1.05263157894737</v>
      </c>
      <c r="F26" s="24" t="n">
        <f aca="false">D26/B26-1</f>
        <v>0.412105263157895</v>
      </c>
      <c r="G26" s="3" t="s">
        <v>231</v>
      </c>
    </row>
    <row r="27" customFormat="false" ht="15" hidden="false" customHeight="true" outlineLevel="0" collapsed="false">
      <c r="A27" s="6" t="n">
        <v>17.5</v>
      </c>
      <c r="B27" s="9" t="n">
        <f aca="false">25+1*MAX(0,MIN($A27,20)-10)+2*MAX(0,MIN($A27,50)-20)+3*MAX(0,$A27-50)+20</f>
        <v>52.5</v>
      </c>
      <c r="C27" s="9" t="n">
        <f aca="false">30+1.5*MAX(0,MIN($A27,10)-5)+2*MAX(0,MIN($A27,15)-10)+2.5*MAX(0,MIN($A27,20)-15)+3*MAX(0,MIN($A27,25)-20)+3.5*MAX(0,MIN($A27,30)-25)+4*MAX(0,MIN($A27,35)-30)+4.5*MAX(0,MIN($A27,50)-35)+5*MAX(0,$A27-50)+IF($A27&lt;=20,55,IF($A27&lt;=30,60,IF($A27&lt;=40,65,IF($A27&lt;=50,70,75))))</f>
        <v>108.75</v>
      </c>
      <c r="D27" s="9" t="n">
        <f aca="false">$B$5+$B$6*MAX(0,MIN($A27,10)-3)+$B$7*MAX(0,MIN($A27,15)-10)+$B$8*MAX(0,MIN($A27,20)-15)+$B$9*MAX(0,MIN($A27,30)-20)+$B$10*MAX(0,$A27-30)+$B$11+$B$12*MIN(MAX($A27-3,0),$B$13-3)</f>
        <v>81.95</v>
      </c>
      <c r="E27" s="24" t="n">
        <f aca="false">C27/B27-1</f>
        <v>1.07142857142857</v>
      </c>
      <c r="F27" s="24" t="n">
        <f aca="false">D27/B27-1</f>
        <v>0.560952380952381</v>
      </c>
      <c r="G27" s="3"/>
    </row>
    <row r="28" customFormat="false" ht="15" hidden="false" customHeight="true" outlineLevel="0" collapsed="false">
      <c r="A28" s="6" t="n">
        <v>22.5</v>
      </c>
      <c r="B28" s="9" t="n">
        <f aca="false">25+1*MAX(0,MIN($A28,20)-10)+2*MAX(0,MIN($A28,50)-20)+3*MAX(0,$A28-50)+20</f>
        <v>60</v>
      </c>
      <c r="C28" s="9" t="n">
        <f aca="false">30+1.5*MAX(0,MIN($A28,10)-5)+2*MAX(0,MIN($A28,15)-10)+2.5*MAX(0,MIN($A28,20)-15)+3*MAX(0,MIN($A28,25)-20)+3.5*MAX(0,MIN($A28,30)-25)+4*MAX(0,MIN($A28,35)-30)+4.5*MAX(0,MIN($A28,50)-35)+5*MAX(0,$A28-50)+IF($A28&lt;=20,55,IF($A28&lt;=30,60,IF($A28&lt;=40,65,IF($A28&lt;=50,70,75))))</f>
        <v>127.5</v>
      </c>
      <c r="D28" s="9" t="n">
        <f aca="false">$B$5+$B$6*MAX(0,MIN($A28,10)-3)+$B$7*MAX(0,MIN($A28,15)-10)+$B$8*MAX(0,MIN($A28,20)-15)+$B$9*MAX(0,MIN($A28,30)-20)+$B$10*MAX(0,$A28-30)+$B$11+$B$12*MIN(MAX($A28-3,0),$B$13-3)</f>
        <v>104.45</v>
      </c>
      <c r="E28" s="24" t="n">
        <f aca="false">C28/B28-1</f>
        <v>1.125</v>
      </c>
      <c r="F28" s="24" t="n">
        <f aca="false">D28/B28-1</f>
        <v>0.740833333333334</v>
      </c>
      <c r="G28" s="3"/>
    </row>
    <row r="29" customFormat="false" ht="15" hidden="false" customHeight="true" outlineLevel="0" collapsed="false">
      <c r="A29" s="25" t="n">
        <v>24</v>
      </c>
      <c r="B29" s="26" t="n">
        <f aca="false">25+1*MAX(0,MIN($A29,20)-10)+2*MAX(0,MIN($A29,50)-20)+3*MAX(0,$A29-50)+20</f>
        <v>63</v>
      </c>
      <c r="C29" s="26" t="n">
        <f aca="false">30+1.5*MAX(0,MIN($A29,10)-5)+2*MAX(0,MIN($A29,15)-10)+2.5*MAX(0,MIN($A29,20)-15)+3*MAX(0,MIN($A29,25)-20)+3.5*MAX(0,MIN($A29,30)-25)+4*MAX(0,MIN($A29,35)-30)+4.5*MAX(0,MIN($A29,50)-35)+5*MAX(0,$A29-50)+IF($A29&lt;=20,55,IF($A29&lt;=30,60,IF($A29&lt;=40,65,IF($A29&lt;=50,70,75))))</f>
        <v>132</v>
      </c>
      <c r="D29" s="26" t="n">
        <f aca="false">$B$5+$B$6*MAX(0,MIN($A29,10)-3)+$B$7*MAX(0,MIN($A29,15)-10)+$B$8*MAX(0,MIN($A29,20)-15)+$B$9*MAX(0,MIN($A29,30)-20)+$B$10*MAX(0,$A29-30)+$B$11+$B$12*MIN(MAX($A29-3,0),$B$13-3)</f>
        <v>113.45</v>
      </c>
      <c r="E29" s="27" t="n">
        <f aca="false">C29/B29-1</f>
        <v>1.0952380952381</v>
      </c>
      <c r="F29" s="27" t="n">
        <f aca="false">D29/B29-1</f>
        <v>0.800793650793651</v>
      </c>
      <c r="G29" s="3" t="s">
        <v>232</v>
      </c>
    </row>
    <row r="30" customFormat="false" ht="15" hidden="false" customHeight="true" outlineLevel="0" collapsed="false">
      <c r="A30" s="6" t="n">
        <v>27.5</v>
      </c>
      <c r="B30" s="9" t="n">
        <f aca="false">25+1*MAX(0,MIN($A30,20)-10)+2*MAX(0,MIN($A30,50)-20)+3*MAX(0,$A30-50)+20</f>
        <v>70</v>
      </c>
      <c r="C30" s="9" t="n">
        <f aca="false">30+1.5*MAX(0,MIN($A30,10)-5)+2*MAX(0,MIN($A30,15)-10)+2.5*MAX(0,MIN($A30,20)-15)+3*MAX(0,MIN($A30,25)-20)+3.5*MAX(0,MIN($A30,30)-25)+4*MAX(0,MIN($A30,35)-30)+4.5*MAX(0,MIN($A30,50)-35)+5*MAX(0,$A30-50)+IF($A30&lt;=20,55,IF($A30&lt;=30,60,IF($A30&lt;=40,65,IF($A30&lt;=50,70,75))))</f>
        <v>143.75</v>
      </c>
      <c r="D30" s="9" t="n">
        <f aca="false">$B$5+$B$6*MAX(0,MIN($A30,10)-3)+$B$7*MAX(0,MIN($A30,15)-10)+$B$8*MAX(0,MIN($A30,20)-15)+$B$9*MAX(0,MIN($A30,30)-20)+$B$10*MAX(0,$A30-30)+$B$11+$B$12*MIN(MAX($A30-3,0),$B$13-3)</f>
        <v>134.45</v>
      </c>
      <c r="E30" s="24" t="n">
        <f aca="false">C30/B30-1</f>
        <v>1.05357142857143</v>
      </c>
      <c r="F30" s="24" t="n">
        <f aca="false">D30/B30-1</f>
        <v>0.920714285714286</v>
      </c>
      <c r="G30" s="3"/>
    </row>
    <row r="31" customFormat="false" ht="15" hidden="false" customHeight="true" outlineLevel="0" collapsed="false">
      <c r="A31" s="6" t="n">
        <v>35</v>
      </c>
      <c r="B31" s="9" t="n">
        <f aca="false">25+1*MAX(0,MIN($A31,20)-10)+2*MAX(0,MIN($A31,50)-20)+3*MAX(0,$A31-50)+20</f>
        <v>85</v>
      </c>
      <c r="C31" s="9" t="n">
        <f aca="false">30+1.5*MAX(0,MIN($A31,10)-5)+2*MAX(0,MIN($A31,15)-10)+2.5*MAX(0,MIN($A31,20)-15)+3*MAX(0,MIN($A31,25)-20)+3.5*MAX(0,MIN($A31,30)-25)+4*MAX(0,MIN($A31,35)-30)+4.5*MAX(0,MIN($A31,50)-35)+5*MAX(0,$A31-50)+IF($A31&lt;=20,55,IF($A31&lt;=30,60,IF($A31&lt;=40,65,IF($A31&lt;=50,70,75))))</f>
        <v>177.5</v>
      </c>
      <c r="D31" s="9" t="n">
        <f aca="false">$B$5+$B$6*MAX(0,MIN($A31,10)-3)+$B$7*MAX(0,MIN($A31,15)-10)+$B$8*MAX(0,MIN($A31,20)-15)+$B$9*MAX(0,MIN($A31,30)-20)+$B$10*MAX(0,$A31-30)+$B$11+$B$12*MIN(MAX($A31-3,0),$B$13-3)</f>
        <v>189.45</v>
      </c>
      <c r="E31" s="24" t="n">
        <f aca="false">C31/B31-1</f>
        <v>1.08823529411765</v>
      </c>
      <c r="F31" s="24" t="n">
        <f aca="false">D31/B31-1</f>
        <v>1.22882352941176</v>
      </c>
      <c r="G31" s="3" t="s">
        <v>233</v>
      </c>
    </row>
    <row r="32" customFormat="false" ht="15" hidden="false" customHeight="true" outlineLevel="0" collapsed="false">
      <c r="A32" s="6" t="n">
        <v>45</v>
      </c>
      <c r="B32" s="9" t="n">
        <f aca="false">25+1*MAX(0,MIN($A32,20)-10)+2*MAX(0,MIN($A32,50)-20)+3*MAX(0,$A32-50)+20</f>
        <v>105</v>
      </c>
      <c r="C32" s="9" t="n">
        <f aca="false">30+1.5*MAX(0,MIN($A32,10)-5)+2*MAX(0,MIN($A32,15)-10)+2.5*MAX(0,MIN($A32,20)-15)+3*MAX(0,MIN($A32,25)-20)+3.5*MAX(0,MIN($A32,30)-25)+4*MAX(0,MIN($A32,35)-30)+4.5*MAX(0,MIN($A32,50)-35)+5*MAX(0,$A32-50)+IF($A32&lt;=20,55,IF($A32&lt;=30,60,IF($A32&lt;=40,65,IF($A32&lt;=50,70,75))))</f>
        <v>227.5</v>
      </c>
      <c r="D32" s="9" t="n">
        <f aca="false">$B$5+$B$6*MAX(0,MIN($A32,10)-3)+$B$7*MAX(0,MIN($A32,15)-10)+$B$8*MAX(0,MIN($A32,20)-15)+$B$9*MAX(0,MIN($A32,30)-20)+$B$10*MAX(0,$A32-30)+$B$11+$B$12*MIN(MAX($A32-3,0),$B$13-3)</f>
        <v>269.45</v>
      </c>
      <c r="E32" s="24" t="n">
        <f aca="false">C32/B32-1</f>
        <v>1.16666666666667</v>
      </c>
      <c r="F32" s="24" t="n">
        <f aca="false">D32/B32-1</f>
        <v>1.56619047619048</v>
      </c>
      <c r="G32" s="3"/>
    </row>
    <row r="34" customFormat="false" ht="15" hidden="false" customHeight="true" outlineLevel="0" collapsed="false">
      <c r="A34" s="21" t="s">
        <v>234</v>
      </c>
    </row>
    <row r="36" customFormat="false" ht="15" hidden="false" customHeight="true" outlineLevel="0" collapsed="false">
      <c r="A36" s="21" t="s">
        <v>235</v>
      </c>
    </row>
    <row r="38" customFormat="false" ht="15" hidden="false" customHeight="true" outlineLevel="0" collapsed="false">
      <c r="A38" s="33" t="s">
        <v>236</v>
      </c>
    </row>
    <row r="40" customFormat="false" ht="15" hidden="false" customHeight="true" outlineLevel="0" collapsed="false">
      <c r="A40" s="3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238</v>
      </c>
    </row>
    <row r="2" customFormat="false" ht="15" hidden="false" customHeight="true" outlineLevel="0" collapsed="false">
      <c r="A2" s="3" t="s">
        <v>239</v>
      </c>
    </row>
    <row r="4" customFormat="false" ht="15" hidden="false" customHeight="true" outlineLevel="0" collapsed="false">
      <c r="A4" s="10" t="s">
        <v>240</v>
      </c>
    </row>
    <row r="5" customFormat="false" ht="15" hidden="false" customHeight="true" outlineLevel="0" collapsed="false">
      <c r="A5" s="5" t="s">
        <v>241</v>
      </c>
      <c r="B5" s="34" t="n">
        <v>3209500</v>
      </c>
    </row>
    <row r="6" customFormat="false" ht="15" hidden="false" customHeight="true" outlineLevel="0" collapsed="false">
      <c r="A6" s="5" t="s">
        <v>242</v>
      </c>
      <c r="B6" s="34" t="n">
        <v>525814</v>
      </c>
    </row>
    <row r="7" customFormat="false" ht="15" hidden="false" customHeight="true" outlineLevel="0" collapsed="false">
      <c r="A7" s="5" t="s">
        <v>243</v>
      </c>
      <c r="B7" s="34" t="n">
        <v>-596600</v>
      </c>
    </row>
    <row r="8" customFormat="false" ht="15" hidden="false" customHeight="true" outlineLevel="0" collapsed="false">
      <c r="A8" s="5" t="s">
        <v>244</v>
      </c>
      <c r="B8" s="34" t="n">
        <v>-350000</v>
      </c>
    </row>
    <row r="9" customFormat="false" ht="15" hidden="false" customHeight="true" outlineLevel="0" collapsed="false">
      <c r="A9" s="5" t="s">
        <v>245</v>
      </c>
      <c r="B9" s="34" t="n">
        <v>-183100</v>
      </c>
    </row>
    <row r="10" customFormat="false" ht="15" hidden="false" customHeight="true" outlineLevel="0" collapsed="false">
      <c r="A10" s="5" t="s">
        <v>246</v>
      </c>
      <c r="B10" s="34" t="n">
        <v>-700008</v>
      </c>
    </row>
    <row r="11" customFormat="false" ht="15" hidden="false" customHeight="true" outlineLevel="0" collapsed="false">
      <c r="A11" s="5" t="s">
        <v>247</v>
      </c>
      <c r="B11" s="34" t="n">
        <v>-20600</v>
      </c>
    </row>
    <row r="12" customFormat="false" ht="15" hidden="false" customHeight="true" outlineLevel="0" collapsed="false">
      <c r="A12" s="5" t="s">
        <v>248</v>
      </c>
      <c r="B12" s="34" t="n">
        <v>-934083</v>
      </c>
    </row>
    <row r="13" customFormat="false" ht="15" hidden="false" customHeight="true" outlineLevel="0" collapsed="false">
      <c r="A13" s="10" t="s">
        <v>249</v>
      </c>
      <c r="B13" s="30" t="n">
        <f aca="false">SUM(B5:B12)</f>
        <v>950923</v>
      </c>
      <c r="C13" s="3" t="s">
        <v>250</v>
      </c>
    </row>
    <row r="15" customFormat="false" ht="15" hidden="false" customHeight="true" outlineLevel="0" collapsed="false">
      <c r="A15" s="10" t="s">
        <v>251</v>
      </c>
    </row>
    <row r="16" customFormat="false" ht="15" hidden="false" customHeight="true" outlineLevel="0" collapsed="false">
      <c r="A16" s="19" t="s">
        <v>252</v>
      </c>
      <c r="B16" s="19" t="s">
        <v>253</v>
      </c>
      <c r="C16" s="19" t="s">
        <v>254</v>
      </c>
    </row>
    <row r="17" customFormat="false" ht="33.75" hidden="false" customHeight="true" outlineLevel="0" collapsed="false">
      <c r="A17" s="10" t="s">
        <v>117</v>
      </c>
      <c r="B17" s="35" t="s">
        <v>255</v>
      </c>
      <c r="C17" s="36" t="n">
        <v>268177</v>
      </c>
    </row>
    <row r="18" customFormat="false" ht="33.75" hidden="false" customHeight="true" outlineLevel="0" collapsed="false">
      <c r="A18" s="10" t="s">
        <v>124</v>
      </c>
      <c r="B18" s="35" t="s">
        <v>256</v>
      </c>
      <c r="C18" s="36" t="n">
        <v>391196</v>
      </c>
    </row>
    <row r="19" customFormat="false" ht="33.75" hidden="false" customHeight="true" outlineLevel="0" collapsed="false">
      <c r="A19" s="10" t="s">
        <v>257</v>
      </c>
      <c r="B19" s="35" t="s">
        <v>258</v>
      </c>
      <c r="C19" s="36" t="n">
        <v>301400</v>
      </c>
    </row>
    <row r="20" customFormat="false" ht="15" hidden="false" customHeight="true" outlineLevel="0" collapsed="false">
      <c r="A20" s="10" t="s">
        <v>259</v>
      </c>
      <c r="C20" s="30" t="n">
        <f aca="false">SUM(C17:C19)</f>
        <v>960773</v>
      </c>
      <c r="D20" s="37" t="n">
        <f aca="false">C20/B13</f>
        <v>1.01035835709095</v>
      </c>
      <c r="E20" s="3" t="s">
        <v>260</v>
      </c>
    </row>
    <row r="22" customFormat="false" ht="15" hidden="false" customHeight="true" outlineLevel="0" collapsed="false">
      <c r="A22" s="10" t="s">
        <v>261</v>
      </c>
    </row>
    <row r="23" customFormat="false" ht="15" hidden="false" customHeight="true" outlineLevel="0" collapsed="false">
      <c r="A23" s="5" t="s">
        <v>262</v>
      </c>
      <c r="B23" s="38" t="n">
        <v>130600</v>
      </c>
    </row>
    <row r="24" customFormat="false" ht="15" hidden="false" customHeight="true" outlineLevel="0" collapsed="false">
      <c r="A24" s="5" t="s">
        <v>263</v>
      </c>
      <c r="B24" s="38" t="n">
        <v>688</v>
      </c>
    </row>
    <row r="25" customFormat="false" ht="15" hidden="false" customHeight="true" outlineLevel="0" collapsed="false">
      <c r="A25" s="5" t="s">
        <v>264</v>
      </c>
      <c r="B25" s="39" t="n">
        <v>0.5</v>
      </c>
    </row>
    <row r="26" customFormat="false" ht="15" hidden="false" customHeight="true" outlineLevel="0" collapsed="false">
      <c r="A26" s="5" t="s">
        <v>265</v>
      </c>
      <c r="B26" s="40" t="n">
        <f aca="false">C17/$B$23</f>
        <v>2.05342266462481</v>
      </c>
    </row>
    <row r="27" customFormat="false" ht="15" hidden="false" customHeight="true" outlineLevel="0" collapsed="false">
      <c r="A27" s="5" t="s">
        <v>266</v>
      </c>
      <c r="B27" s="41" t="n">
        <f aca="false">C18/$B$24/12</f>
        <v>47.3832364341085</v>
      </c>
      <c r="C27" s="40" t="n">
        <f aca="false">C18/$B$23</f>
        <v>2.9953751914242</v>
      </c>
    </row>
    <row r="28" customFormat="false" ht="15" hidden="false" customHeight="true" outlineLevel="0" collapsed="false">
      <c r="A28" s="5" t="s">
        <v>267</v>
      </c>
      <c r="B28" s="41" t="n">
        <f aca="false">C19/$B$24/12</f>
        <v>36.5067829457364</v>
      </c>
    </row>
    <row r="29" customFormat="false" ht="15" hidden="false" customHeight="true" outlineLevel="0" collapsed="false">
      <c r="A29" s="5" t="s">
        <v>268</v>
      </c>
      <c r="B29" s="41" t="n">
        <f aca="false">$B$26+4.9</f>
        <v>6.95342266462481</v>
      </c>
      <c r="C29" s="21" t="s">
        <v>269</v>
      </c>
    </row>
    <row r="31" customFormat="false" ht="15" hidden="false" customHeight="true" outlineLevel="0" collapsed="false">
      <c r="A31" s="10" t="s">
        <v>270</v>
      </c>
    </row>
    <row r="32" customFormat="false" ht="15" hidden="false" customHeight="true" outlineLevel="0" collapsed="false">
      <c r="A32" s="19" t="s">
        <v>221</v>
      </c>
      <c r="B32" s="19" t="s">
        <v>271</v>
      </c>
      <c r="C32" s="19" t="s">
        <v>272</v>
      </c>
      <c r="D32" s="19" t="s">
        <v>273</v>
      </c>
      <c r="E32" s="19" t="s">
        <v>115</v>
      </c>
    </row>
    <row r="33" customFormat="false" ht="15" hidden="false" customHeight="true" outlineLevel="0" collapsed="false">
      <c r="A33" s="6" t="n">
        <v>4</v>
      </c>
      <c r="B33" s="9" t="n">
        <f aca="false">$B$26*$A33+(1-$B$25)*$B$27+$B$25*$C$27*$A33+$B$28</f>
        <v>74.4028422041383</v>
      </c>
      <c r="C33" s="9" t="n">
        <f aca="false">30+1.5*MAX(0,MIN($A33,10)-5)+2*MAX(0,MIN($A33,15)-10)+2.5*MAX(0,MIN($A33,20)-15)+3*MAX(0,MIN($A33,25)-20)+3.5*MAX(0,MIN($A33,30)-25)+4*MAX(0,MIN($A33,35)-30)+4.5*MAX(0,MIN($A33,50)-35)+5*MAX(0,$A33-50)+IF($A33&lt;=20,55,IF($A33&lt;=30,60,IF($A33&lt;=40,65,IF($A33&lt;=50,70,75))))</f>
        <v>85</v>
      </c>
      <c r="D33" s="42" t="n">
        <f aca="false">B33-C33</f>
        <v>-10.5971577958617</v>
      </c>
      <c r="E33" s="3"/>
    </row>
    <row r="34" customFormat="false" ht="15" hidden="false" customHeight="true" outlineLevel="0" collapsed="false">
      <c r="A34" s="25" t="n">
        <v>7</v>
      </c>
      <c r="B34" s="26" t="n">
        <f aca="false">$B$26*$A34+(1-$B$25)*$B$27+$B$25*$C$27*$A34+$B$28</f>
        <v>85.0561729851491</v>
      </c>
      <c r="C34" s="26" t="n">
        <f aca="false">30+1.5*MAX(0,MIN($A34,10)-5)+2*MAX(0,MIN($A34,15)-10)+2.5*MAX(0,MIN($A34,20)-15)+3*MAX(0,MIN($A34,25)-20)+3.5*MAX(0,MIN($A34,30)-25)+4*MAX(0,MIN($A34,35)-30)+4.5*MAX(0,MIN($A34,50)-35)+5*MAX(0,$A34-50)+IF($A34&lt;=20,55,IF($A34&lt;=30,60,IF($A34&lt;=40,65,IF($A34&lt;=50,70,75))))</f>
        <v>88</v>
      </c>
      <c r="D34" s="43" t="n">
        <f aca="false">B34-C34</f>
        <v>-2.94382701485095</v>
      </c>
      <c r="E34" s="3" t="s">
        <v>274</v>
      </c>
    </row>
    <row r="35" customFormat="false" ht="15" hidden="false" customHeight="true" outlineLevel="0" collapsed="false">
      <c r="A35" s="25" t="n">
        <v>8</v>
      </c>
      <c r="B35" s="26" t="n">
        <f aca="false">$B$26*$A35+(1-$B$25)*$B$27+$B$25*$C$27*$A35+$B$28</f>
        <v>88.607283245486</v>
      </c>
      <c r="C35" s="26" t="n">
        <f aca="false">30+1.5*MAX(0,MIN($A35,10)-5)+2*MAX(0,MIN($A35,15)-10)+2.5*MAX(0,MIN($A35,20)-15)+3*MAX(0,MIN($A35,25)-20)+3.5*MAX(0,MIN($A35,30)-25)+4*MAX(0,MIN($A35,35)-30)+4.5*MAX(0,MIN($A35,50)-35)+5*MAX(0,$A35-50)+IF($A35&lt;=20,55,IF($A35&lt;=30,60,IF($A35&lt;=40,65,IF($A35&lt;=50,70,75))))</f>
        <v>89.5</v>
      </c>
      <c r="D35" s="43" t="n">
        <f aca="false">B35-C35</f>
        <v>-0.892716754514055</v>
      </c>
      <c r="E35" s="3" t="s">
        <v>230</v>
      </c>
    </row>
    <row r="36" customFormat="false" ht="15" hidden="false" customHeight="true" outlineLevel="0" collapsed="false">
      <c r="A36" s="25" t="n">
        <v>12.5</v>
      </c>
      <c r="B36" s="26" t="n">
        <f aca="false">$B$26*$A36+(1-$B$25)*$B$27+$B$25*$C$27*$A36+$B$28</f>
        <v>104.587279417002</v>
      </c>
      <c r="C36" s="26" t="n">
        <f aca="false">30+1.5*MAX(0,MIN($A36,10)-5)+2*MAX(0,MIN($A36,15)-10)+2.5*MAX(0,MIN($A36,20)-15)+3*MAX(0,MIN($A36,25)-20)+3.5*MAX(0,MIN($A36,30)-25)+4*MAX(0,MIN($A36,35)-30)+4.5*MAX(0,MIN($A36,50)-35)+5*MAX(0,$A36-50)+IF($A36&lt;=20,55,IF($A36&lt;=30,60,IF($A36&lt;=40,65,IF($A36&lt;=50,70,75))))</f>
        <v>97.5</v>
      </c>
      <c r="D36" s="43" t="n">
        <f aca="false">B36-C36</f>
        <v>7.08727941700202</v>
      </c>
      <c r="E36" s="3" t="s">
        <v>231</v>
      </c>
    </row>
    <row r="37" customFormat="false" ht="15" hidden="false" customHeight="true" outlineLevel="0" collapsed="false">
      <c r="A37" s="6" t="n">
        <v>17.5</v>
      </c>
      <c r="B37" s="9" t="n">
        <f aca="false">$B$26*$A37+(1-$B$25)*$B$27+$B$25*$C$27*$A37+$B$28</f>
        <v>122.342830718687</v>
      </c>
      <c r="C37" s="9" t="n">
        <f aca="false">30+1.5*MAX(0,MIN($A37,10)-5)+2*MAX(0,MIN($A37,15)-10)+2.5*MAX(0,MIN($A37,20)-15)+3*MAX(0,MIN($A37,25)-20)+3.5*MAX(0,MIN($A37,30)-25)+4*MAX(0,MIN($A37,35)-30)+4.5*MAX(0,MIN($A37,50)-35)+5*MAX(0,$A37-50)+IF($A37&lt;=20,55,IF($A37&lt;=30,60,IF($A37&lt;=40,65,IF($A37&lt;=50,70,75))))</f>
        <v>108.75</v>
      </c>
      <c r="D37" s="42" t="n">
        <f aca="false">B37-C37</f>
        <v>13.5928307186866</v>
      </c>
      <c r="E37" s="3"/>
    </row>
    <row r="38" customFormat="false" ht="15" hidden="false" customHeight="true" outlineLevel="0" collapsed="false">
      <c r="A38" s="6" t="n">
        <v>22.5</v>
      </c>
      <c r="B38" s="9" t="n">
        <f aca="false">$B$26*$A38+(1-$B$25)*$B$27+$B$25*$C$27*$A38+$B$28</f>
        <v>140.098382020371</v>
      </c>
      <c r="C38" s="9" t="n">
        <f aca="false">30+1.5*MAX(0,MIN($A38,10)-5)+2*MAX(0,MIN($A38,15)-10)+2.5*MAX(0,MIN($A38,20)-15)+3*MAX(0,MIN($A38,25)-20)+3.5*MAX(0,MIN($A38,30)-25)+4*MAX(0,MIN($A38,35)-30)+4.5*MAX(0,MIN($A38,50)-35)+5*MAX(0,$A38-50)+IF($A38&lt;=20,55,IF($A38&lt;=30,60,IF($A38&lt;=40,65,IF($A38&lt;=50,70,75))))</f>
        <v>127.5</v>
      </c>
      <c r="D38" s="42" t="n">
        <f aca="false">B38-C38</f>
        <v>12.5983820203711</v>
      </c>
      <c r="E38" s="3"/>
    </row>
    <row r="39" customFormat="false" ht="15" hidden="false" customHeight="true" outlineLevel="0" collapsed="false">
      <c r="A39" s="25" t="n">
        <v>24</v>
      </c>
      <c r="B39" s="26" t="n">
        <f aca="false">$B$26*$A39+(1-$B$25)*$B$27+$B$25*$C$27*$A39+$B$28</f>
        <v>145.425047410876</v>
      </c>
      <c r="C39" s="26" t="n">
        <f aca="false">30+1.5*MAX(0,MIN($A39,10)-5)+2*MAX(0,MIN($A39,15)-10)+2.5*MAX(0,MIN($A39,20)-15)+3*MAX(0,MIN($A39,25)-20)+3.5*MAX(0,MIN($A39,30)-25)+4*MAX(0,MIN($A39,35)-30)+4.5*MAX(0,MIN($A39,50)-35)+5*MAX(0,$A39-50)+IF($A39&lt;=20,55,IF($A39&lt;=30,60,IF($A39&lt;=40,65,IF($A39&lt;=50,70,75))))</f>
        <v>132</v>
      </c>
      <c r="D39" s="43" t="n">
        <f aca="false">B39-C39</f>
        <v>13.4250474108765</v>
      </c>
      <c r="E39" s="3" t="s">
        <v>275</v>
      </c>
    </row>
    <row r="40" customFormat="false" ht="15" hidden="false" customHeight="true" outlineLevel="0" collapsed="false">
      <c r="A40" s="6" t="n">
        <v>35</v>
      </c>
      <c r="B40" s="9" t="n">
        <f aca="false">$B$26*$A40+(1-$B$25)*$B$27+$B$25*$C$27*$A40+$B$28</f>
        <v>184.487260274582</v>
      </c>
      <c r="C40" s="9" t="n">
        <f aca="false">30+1.5*MAX(0,MIN($A40,10)-5)+2*MAX(0,MIN($A40,15)-10)+2.5*MAX(0,MIN($A40,20)-15)+3*MAX(0,MIN($A40,25)-20)+3.5*MAX(0,MIN($A40,30)-25)+4*MAX(0,MIN($A40,35)-30)+4.5*MAX(0,MIN($A40,50)-35)+5*MAX(0,$A40-50)+IF($A40&lt;=20,55,IF($A40&lt;=30,60,IF($A40&lt;=40,65,IF($A40&lt;=50,70,75))))</f>
        <v>177.5</v>
      </c>
      <c r="D40" s="42" t="n">
        <f aca="false">B40-C40</f>
        <v>6.98726027458244</v>
      </c>
      <c r="E40" s="3"/>
    </row>
    <row r="42" customFormat="false" ht="15" hidden="false" customHeight="true" outlineLevel="0" collapsed="false">
      <c r="A42" s="21" t="s">
        <v>276</v>
      </c>
    </row>
    <row r="44" customFormat="false" ht="15" hidden="false" customHeight="true" outlineLevel="0" collapsed="false">
      <c r="A44" s="21" t="s">
        <v>277</v>
      </c>
    </row>
    <row r="46" customFormat="false" ht="15" hidden="false" customHeight="true" outlineLevel="0" collapsed="false">
      <c r="A46" s="33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"/>
    <col collapsed="false" customWidth="true" hidden="false" outlineLevel="0" max="3" min="3" style="1" width="62"/>
    <col collapsed="false" customWidth="true" hidden="false" outlineLevel="0" max="5" min="4" style="1" width="13"/>
    <col collapsed="false" customWidth="true" hidden="false" outlineLevel="0" max="6" min="6" style="1" width="62"/>
  </cols>
  <sheetData>
    <row r="1" customFormat="false" ht="17.25" hidden="false" customHeight="true" outlineLevel="0" collapsed="false">
      <c r="A1" s="2" t="s">
        <v>279</v>
      </c>
    </row>
    <row r="3" customFormat="false" ht="27.75" hidden="false" customHeight="true" outlineLevel="0" collapsed="false">
      <c r="A3" s="14" t="s">
        <v>280</v>
      </c>
      <c r="B3" s="14" t="s">
        <v>281</v>
      </c>
      <c r="C3" s="14" t="s">
        <v>282</v>
      </c>
      <c r="D3" s="14" t="s">
        <v>283</v>
      </c>
      <c r="E3" s="14" t="s">
        <v>284</v>
      </c>
      <c r="F3" s="14" t="s">
        <v>285</v>
      </c>
    </row>
    <row r="4" customFormat="false" ht="57.75" hidden="false" customHeight="true" outlineLevel="0" collapsed="false">
      <c r="A4" s="5" t="n">
        <v>1</v>
      </c>
      <c r="B4" s="5" t="s">
        <v>286</v>
      </c>
      <c r="C4" s="44" t="s">
        <v>287</v>
      </c>
      <c r="D4" s="45" t="n">
        <v>150</v>
      </c>
      <c r="E4" s="46" t="s">
        <v>288</v>
      </c>
      <c r="F4" s="44" t="s">
        <v>289</v>
      </c>
    </row>
    <row r="5" customFormat="false" ht="57.75" hidden="false" customHeight="true" outlineLevel="0" collapsed="false">
      <c r="A5" s="5" t="n">
        <v>2</v>
      </c>
      <c r="B5" s="5" t="s">
        <v>286</v>
      </c>
      <c r="C5" s="44" t="s">
        <v>290</v>
      </c>
      <c r="D5" s="9" t="n">
        <v>30</v>
      </c>
      <c r="E5" s="47" t="s">
        <v>291</v>
      </c>
      <c r="F5" s="44" t="s">
        <v>292</v>
      </c>
    </row>
    <row r="6" customFormat="false" ht="57.75" hidden="false" customHeight="true" outlineLevel="0" collapsed="false">
      <c r="A6" s="5" t="n">
        <v>3</v>
      </c>
      <c r="B6" s="5" t="s">
        <v>293</v>
      </c>
      <c r="C6" s="44" t="s">
        <v>294</v>
      </c>
      <c r="D6" s="9" t="n">
        <v>0</v>
      </c>
      <c r="E6" s="48" t="s">
        <v>295</v>
      </c>
      <c r="F6" s="44" t="s">
        <v>296</v>
      </c>
    </row>
    <row r="7" customFormat="false" ht="57.75" hidden="false" customHeight="true" outlineLevel="0" collapsed="false">
      <c r="A7" s="5" t="n">
        <v>4</v>
      </c>
      <c r="B7" s="5" t="s">
        <v>297</v>
      </c>
      <c r="C7" s="44" t="s">
        <v>298</v>
      </c>
      <c r="D7" s="9" t="n">
        <v>1.68</v>
      </c>
      <c r="E7" s="47" t="s">
        <v>299</v>
      </c>
      <c r="F7" s="44" t="s">
        <v>300</v>
      </c>
    </row>
    <row r="8" customFormat="false" ht="57.75" hidden="false" customHeight="true" outlineLevel="0" collapsed="false">
      <c r="A8" s="5" t="n">
        <v>5</v>
      </c>
      <c r="B8" s="5" t="s">
        <v>301</v>
      </c>
      <c r="C8" s="44" t="s">
        <v>302</v>
      </c>
      <c r="D8" s="9" t="n">
        <v>8.91</v>
      </c>
      <c r="E8" s="47" t="s">
        <v>299</v>
      </c>
      <c r="F8" s="44" t="s">
        <v>303</v>
      </c>
    </row>
    <row r="9" customFormat="false" ht="57.75" hidden="false" customHeight="true" outlineLevel="0" collapsed="false">
      <c r="A9" s="5" t="n">
        <v>6</v>
      </c>
      <c r="B9" s="5" t="s">
        <v>304</v>
      </c>
      <c r="C9" s="44" t="s">
        <v>305</v>
      </c>
      <c r="D9" s="45" t="n">
        <v>10</v>
      </c>
      <c r="E9" s="46" t="s">
        <v>288</v>
      </c>
      <c r="F9" s="44" t="s">
        <v>306</v>
      </c>
    </row>
    <row r="10" customFormat="false" ht="57.75" hidden="false" customHeight="true" outlineLevel="0" collapsed="false">
      <c r="A10" s="5" t="n">
        <v>7</v>
      </c>
      <c r="B10" s="5" t="s">
        <v>307</v>
      </c>
      <c r="C10" s="44" t="s">
        <v>308</v>
      </c>
      <c r="D10" s="9" t="n">
        <v>7.93</v>
      </c>
      <c r="E10" s="47" t="s">
        <v>299</v>
      </c>
      <c r="F10" s="44" t="s">
        <v>309</v>
      </c>
    </row>
    <row r="11" customFormat="false" ht="57.75" hidden="false" customHeight="true" outlineLevel="0" collapsed="false">
      <c r="A11" s="5" t="n">
        <v>8</v>
      </c>
      <c r="B11" s="5" t="s">
        <v>310</v>
      </c>
      <c r="C11" s="44" t="s">
        <v>311</v>
      </c>
      <c r="D11" s="45" t="n">
        <v>10</v>
      </c>
      <c r="E11" s="46" t="s">
        <v>288</v>
      </c>
      <c r="F11" s="44" t="s">
        <v>312</v>
      </c>
    </row>
    <row r="12" customFormat="false" ht="57.75" hidden="false" customHeight="true" outlineLevel="0" collapsed="false">
      <c r="A12" s="5" t="n">
        <v>9</v>
      </c>
      <c r="B12" s="5" t="s">
        <v>313</v>
      </c>
      <c r="C12" s="44" t="s">
        <v>314</v>
      </c>
      <c r="D12" s="9" t="n">
        <v>9.4</v>
      </c>
      <c r="E12" s="47" t="s">
        <v>299</v>
      </c>
      <c r="F12" s="44" t="s">
        <v>315</v>
      </c>
    </row>
    <row r="13" customFormat="false" ht="57.75" hidden="false" customHeight="true" outlineLevel="0" collapsed="false">
      <c r="A13" s="5" t="n">
        <v>10</v>
      </c>
      <c r="B13" s="5" t="s">
        <v>316</v>
      </c>
      <c r="C13" s="44" t="s">
        <v>317</v>
      </c>
      <c r="D13" s="9" t="n">
        <v>0</v>
      </c>
      <c r="E13" s="47" t="s">
        <v>318</v>
      </c>
      <c r="F13" s="44" t="s">
        <v>319</v>
      </c>
    </row>
    <row r="14" customFormat="false" ht="57.75" hidden="false" customHeight="true" outlineLevel="0" collapsed="false">
      <c r="A14" s="5" t="n">
        <v>11</v>
      </c>
      <c r="B14" s="5" t="s">
        <v>301</v>
      </c>
      <c r="C14" s="44" t="s">
        <v>320</v>
      </c>
      <c r="D14" s="9" t="n">
        <v>0</v>
      </c>
      <c r="E14" s="47" t="s">
        <v>299</v>
      </c>
      <c r="F14" s="44" t="s">
        <v>321</v>
      </c>
    </row>
    <row r="15" customFormat="false" ht="57.75" hidden="false" customHeight="true" outlineLevel="0" collapsed="false">
      <c r="A15" s="5" t="n">
        <v>12</v>
      </c>
      <c r="B15" s="5" t="s">
        <v>322</v>
      </c>
      <c r="C15" s="44" t="s">
        <v>323</v>
      </c>
      <c r="D15" s="9" t="n">
        <v>1</v>
      </c>
      <c r="E15" s="47" t="s">
        <v>291</v>
      </c>
      <c r="F15" s="44" t="s">
        <v>324</v>
      </c>
    </row>
    <row r="16" customFormat="false" ht="57.75" hidden="false" customHeight="true" outlineLevel="0" collapsed="false">
      <c r="A16" s="5" t="n">
        <v>13</v>
      </c>
      <c r="B16" s="5" t="s">
        <v>325</v>
      </c>
      <c r="C16" s="44" t="s">
        <v>326</v>
      </c>
      <c r="D16" s="45" t="n">
        <v>426.7</v>
      </c>
      <c r="E16" s="46" t="s">
        <v>327</v>
      </c>
      <c r="F16" s="44" t="s">
        <v>328</v>
      </c>
    </row>
    <row r="18" customFormat="false" ht="15" hidden="false" customHeight="true" outlineLevel="0" collapsed="false">
      <c r="C18" s="10" t="s">
        <v>329</v>
      </c>
      <c r="D18" s="45" t="n">
        <f aca="false">D7+D8+D9+D10+D11+D12</f>
        <v>47.92</v>
      </c>
    </row>
    <row r="19" customFormat="false" ht="15" hidden="false" customHeight="true" outlineLevel="0" collapsed="false">
      <c r="C19" s="10" t="s">
        <v>330</v>
      </c>
      <c r="D19" s="45" t="n">
        <f aca="false">D4</f>
        <v>150</v>
      </c>
    </row>
    <row r="20" customFormat="false" ht="15" hidden="false" customHeight="true" outlineLevel="0" collapsed="false">
      <c r="C20" s="10" t="s">
        <v>331</v>
      </c>
      <c r="D20" s="45" t="n">
        <f aca="false">D16</f>
        <v>426.7</v>
      </c>
    </row>
    <row r="21" customFormat="false" ht="15" hidden="false" customHeight="true" outlineLevel="0" collapsed="false">
      <c r="C21" s="10" t="s">
        <v>332</v>
      </c>
      <c r="D21" s="49" t="n">
        <f aca="false">D18+D19+D20</f>
        <v>624.62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0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6" min="6" style="1" width="60"/>
  </cols>
  <sheetData>
    <row r="1" customFormat="false" ht="17.25" hidden="false" customHeight="true" outlineLevel="0" collapsed="false">
      <c r="A1" s="2" t="s">
        <v>333</v>
      </c>
    </row>
    <row r="3" customFormat="false" ht="15" hidden="false" customHeight="true" outlineLevel="0" collapsed="false">
      <c r="A3" s="10" t="s">
        <v>334</v>
      </c>
    </row>
    <row r="4" customFormat="false" ht="15" hidden="false" customHeight="true" outlineLevel="0" collapsed="false">
      <c r="A4" s="19" t="s">
        <v>4</v>
      </c>
      <c r="B4" s="19" t="s">
        <v>335</v>
      </c>
      <c r="C4" s="19" t="s">
        <v>336</v>
      </c>
      <c r="D4" s="19" t="s">
        <v>337</v>
      </c>
      <c r="E4" s="19" t="s">
        <v>338</v>
      </c>
      <c r="F4" s="19" t="s">
        <v>339</v>
      </c>
    </row>
    <row r="5" customFormat="false" ht="15" hidden="false" customHeight="true" outlineLevel="0" collapsed="false">
      <c r="A5" s="5" t="s">
        <v>73</v>
      </c>
      <c r="B5" s="6" t="n">
        <v>15</v>
      </c>
      <c r="C5" s="50" t="n">
        <f aca="false">AVERAGE('Bill Ledger'!$F$5:$F$57)</f>
        <v>9.54716981132076</v>
      </c>
      <c r="D5" s="50" t="n">
        <f aca="false">STDEV('Bill Ledger'!$F$5:$F$57)</f>
        <v>4.81010969703734</v>
      </c>
      <c r="E5" s="51" t="n">
        <f aca="false">(B5-C5)/D5</f>
        <v>1.13361867652161</v>
      </c>
      <c r="F5" s="5" t="str">
        <f aca="false">IF(E5&gt;2,"OUTLIER (&gt;2 SD)",IF(E5&gt;1,"elevated","within range"))</f>
        <v>elevated</v>
      </c>
    </row>
    <row r="6" customFormat="false" ht="15" hidden="false" customHeight="true" outlineLevel="0" collapsed="false">
      <c r="A6" s="5" t="s">
        <v>74</v>
      </c>
      <c r="B6" s="6" t="n">
        <v>11</v>
      </c>
      <c r="C6" s="50" t="n">
        <f aca="false">AVERAGE('Bill Ledger'!$F$5:$F$57)</f>
        <v>9.54716981132076</v>
      </c>
      <c r="D6" s="50" t="n">
        <f aca="false">STDEV('Bill Ledger'!$F$5:$F$57)</f>
        <v>4.81010969703734</v>
      </c>
      <c r="E6" s="51" t="n">
        <f aca="false">(B6-C6)/D6</f>
        <v>0.302036810007489</v>
      </c>
      <c r="F6" s="5" t="str">
        <f aca="false">IF(E6&gt;2,"OUTLIER (&gt;2 SD)",IF(E6&gt;1,"elevated","within range"))</f>
        <v>within range</v>
      </c>
    </row>
    <row r="7" customFormat="false" ht="15" hidden="false" customHeight="true" outlineLevel="0" collapsed="false">
      <c r="A7" s="5" t="s">
        <v>75</v>
      </c>
      <c r="B7" s="6" t="n">
        <v>15</v>
      </c>
      <c r="C7" s="50" t="n">
        <f aca="false">AVERAGE('Bill Ledger'!$F$5:$F$57)</f>
        <v>9.54716981132076</v>
      </c>
      <c r="D7" s="50" t="n">
        <f aca="false">STDEV('Bill Ledger'!$F$5:$F$57)</f>
        <v>4.81010969703734</v>
      </c>
      <c r="E7" s="51" t="n">
        <f aca="false">(B7-C7)/D7</f>
        <v>1.13361867652161</v>
      </c>
      <c r="F7" s="5" t="str">
        <f aca="false">IF(E7&gt;2,"OUTLIER (&gt;2 SD)",IF(E7&gt;1,"elevated","within range"))</f>
        <v>elevated</v>
      </c>
    </row>
    <row r="8" customFormat="false" ht="15" hidden="false" customHeight="true" outlineLevel="0" collapsed="false">
      <c r="A8" s="5" t="s">
        <v>76</v>
      </c>
      <c r="B8" s="6" t="n">
        <v>22</v>
      </c>
      <c r="C8" s="50" t="n">
        <f aca="false">AVERAGE('Bill Ledger'!$F$5:$F$57)</f>
        <v>9.54716981132076</v>
      </c>
      <c r="D8" s="50" t="n">
        <f aca="false">STDEV('Bill Ledger'!$F$5:$F$57)</f>
        <v>4.81010969703734</v>
      </c>
      <c r="E8" s="51" t="n">
        <f aca="false">(B8-C8)/D8</f>
        <v>2.58888694292133</v>
      </c>
      <c r="F8" s="5" t="str">
        <f aca="false">IF(E8&gt;2,"OUTLIER (&gt;2 SD)",IF(E8&gt;1,"elevated","within range"))</f>
        <v>OUTLIER (&gt;2 SD)</v>
      </c>
    </row>
    <row r="9" customFormat="false" ht="15" hidden="false" customHeight="true" outlineLevel="0" collapsed="false">
      <c r="A9" s="5" t="s">
        <v>77</v>
      </c>
      <c r="B9" s="6" t="n">
        <v>22</v>
      </c>
      <c r="C9" s="50" t="n">
        <f aca="false">AVERAGE('Bill Ledger'!$F$5:$F$57)</f>
        <v>9.54716981132076</v>
      </c>
      <c r="D9" s="50" t="n">
        <f aca="false">STDEV('Bill Ledger'!$F$5:$F$57)</f>
        <v>4.81010969703734</v>
      </c>
      <c r="E9" s="51" t="n">
        <f aca="false">(B9-C9)/D9</f>
        <v>2.58888694292133</v>
      </c>
      <c r="F9" s="5" t="str">
        <f aca="false">IF(E9&gt;2,"OUTLIER (&gt;2 SD)",IF(E9&gt;1,"elevated","within range"))</f>
        <v>OUTLIER (&gt;2 SD)</v>
      </c>
    </row>
    <row r="10" customFormat="false" ht="15" hidden="false" customHeight="true" outlineLevel="0" collapsed="false">
      <c r="A10" s="5" t="s">
        <v>78</v>
      </c>
      <c r="B10" s="6" t="n">
        <v>25</v>
      </c>
      <c r="C10" s="50" t="n">
        <f aca="false">AVERAGE('Bill Ledger'!$F$5:$F$57)</f>
        <v>9.54716981132076</v>
      </c>
      <c r="D10" s="50" t="n">
        <f aca="false">STDEV('Bill Ledger'!$F$5:$F$57)</f>
        <v>4.81010969703734</v>
      </c>
      <c r="E10" s="51" t="n">
        <f aca="false">(B10-C10)/D10</f>
        <v>3.21257334280692</v>
      </c>
      <c r="F10" s="5" t="str">
        <f aca="false">IF(E10&gt;2,"OUTLIER (&gt;2 SD)",IF(E10&gt;1,"elevated","within range"))</f>
        <v>OUTLIER (&gt;2 SD)</v>
      </c>
    </row>
    <row r="11" customFormat="false" ht="15" hidden="false" customHeight="true" outlineLevel="0" collapsed="false">
      <c r="A11" s="5" t="s">
        <v>79</v>
      </c>
      <c r="B11" s="6" t="n">
        <v>24</v>
      </c>
      <c r="C11" s="50" t="n">
        <f aca="false">AVERAGE('Bill Ledger'!$F$5:$F$57)</f>
        <v>9.54716981132076</v>
      </c>
      <c r="D11" s="50" t="n">
        <f aca="false">STDEV('Bill Ledger'!$F$5:$F$57)</f>
        <v>4.81010969703734</v>
      </c>
      <c r="E11" s="51" t="n">
        <f aca="false">(B11-C11)/D11</f>
        <v>3.00467787617839</v>
      </c>
      <c r="F11" s="5" t="str">
        <f aca="false">IF(E11&gt;2,"OUTLIER (&gt;2 SD)",IF(E11&gt;1,"elevated","within range"))</f>
        <v>OUTLIER (&gt;2 SD)</v>
      </c>
    </row>
    <row r="12" customFormat="false" ht="15" hidden="false" customHeight="true" outlineLevel="0" collapsed="false">
      <c r="A12" s="10" t="s">
        <v>340</v>
      </c>
      <c r="B12" s="52" t="n">
        <f aca="false">AVERAGE(B5:B11)</f>
        <v>19.1428571428571</v>
      </c>
      <c r="E12" s="53" t="n">
        <f aca="false">(B12-C5)/(D5/SQRT(7))</f>
        <v>5.27800901372691</v>
      </c>
      <c r="F12" s="21" t="s">
        <v>341</v>
      </c>
    </row>
    <row r="15" customFormat="false" ht="15" hidden="false" customHeight="true" outlineLevel="0" collapsed="false">
      <c r="A15" s="10" t="s">
        <v>342</v>
      </c>
    </row>
    <row r="16" customFormat="false" ht="15" hidden="false" customHeight="true" outlineLevel="0" collapsed="false">
      <c r="A16" s="3" t="s">
        <v>343</v>
      </c>
    </row>
    <row r="17" customFormat="false" ht="15" hidden="false" customHeight="true" outlineLevel="0" collapsed="false">
      <c r="A17" s="19" t="s">
        <v>3</v>
      </c>
      <c r="B17" s="19" t="s">
        <v>344</v>
      </c>
      <c r="C17" s="19" t="s">
        <v>345</v>
      </c>
      <c r="D17" s="19" t="s">
        <v>346</v>
      </c>
    </row>
    <row r="18" customFormat="false" ht="15" hidden="false" customHeight="true" outlineLevel="0" collapsed="false">
      <c r="A18" s="15" t="n">
        <v>2021</v>
      </c>
      <c r="B18" s="16" t="n">
        <f aca="false">MIN('Bill Ledger'!$F$5:$F$9)</f>
        <v>3</v>
      </c>
      <c r="C18" s="16" t="n">
        <f aca="false">MAX('Bill Ledger'!$F$5:$F$9)</f>
        <v>14</v>
      </c>
      <c r="D18" s="16" t="n">
        <f aca="false">C18-B18</f>
        <v>11</v>
      </c>
    </row>
    <row r="19" customFormat="false" ht="15" hidden="false" customHeight="true" outlineLevel="0" collapsed="false">
      <c r="A19" s="15" t="n">
        <v>2022</v>
      </c>
      <c r="B19" s="16" t="n">
        <f aca="false">MIN('Bill Ledger'!$F$10:$F$21)</f>
        <v>3</v>
      </c>
      <c r="C19" s="16" t="n">
        <f aca="false">MAX('Bill Ledger'!$F$10:$F$21)</f>
        <v>18</v>
      </c>
      <c r="D19" s="16" t="n">
        <f aca="false">C19-B19</f>
        <v>15</v>
      </c>
    </row>
    <row r="20" customFormat="false" ht="15" hidden="false" customHeight="true" outlineLevel="0" collapsed="false">
      <c r="A20" s="15" t="n">
        <v>2023</v>
      </c>
      <c r="B20" s="16" t="n">
        <f aca="false">MIN('Bill Ledger'!$F$22:$F$33)</f>
        <v>2</v>
      </c>
      <c r="C20" s="16" t="n">
        <f aca="false">MAX('Bill Ledger'!$F$22:$F$33)</f>
        <v>21</v>
      </c>
      <c r="D20" s="16" t="n">
        <f aca="false">C20-B20</f>
        <v>19</v>
      </c>
    </row>
    <row r="21" customFormat="false" ht="15" hidden="false" customHeight="true" outlineLevel="0" collapsed="false">
      <c r="A21" s="15" t="n">
        <v>2024</v>
      </c>
      <c r="B21" s="16" t="n">
        <f aca="false">MIN('Bill Ledger'!$F$34:$F$45)</f>
        <v>3</v>
      </c>
      <c r="C21" s="16" t="n">
        <f aca="false">MAX('Bill Ledger'!$F$34:$F$45)</f>
        <v>15</v>
      </c>
      <c r="D21" s="16" t="n">
        <f aca="false">C21-B21</f>
        <v>12</v>
      </c>
    </row>
    <row r="22" customFormat="false" ht="15" hidden="false" customHeight="true" outlineLevel="0" collapsed="false">
      <c r="A22" s="15" t="n">
        <v>2025</v>
      </c>
      <c r="B22" s="16" t="n">
        <f aca="false">MIN('Bill Ledger'!$F$46:$F$57)</f>
        <v>3</v>
      </c>
      <c r="C22" s="16" t="n">
        <f aca="false">MAX('Bill Ledger'!$F$46:$F$57)</f>
        <v>18</v>
      </c>
      <c r="D22" s="16" t="n">
        <f aca="false">C22-B22</f>
        <v>15</v>
      </c>
    </row>
    <row r="23" customFormat="false" ht="15" hidden="false" customHeight="true" outlineLevel="0" collapsed="false">
      <c r="A23" s="15" t="n">
        <v>2026</v>
      </c>
      <c r="B23" s="54" t="n">
        <f aca="false">MIN('Bill Ledger'!$F$58:$F$64)</f>
        <v>11</v>
      </c>
      <c r="C23" s="16" t="n">
        <f aca="false">MAX('Bill Ledger'!$F$58:$F$64)</f>
        <v>25</v>
      </c>
      <c r="D23" s="16" t="n">
        <f aca="false">C23-B23</f>
        <v>14</v>
      </c>
    </row>
    <row r="25" customFormat="false" ht="15" hidden="false" customHeight="true" outlineLevel="0" collapsed="false">
      <c r="A25" s="21" t="s">
        <v>347</v>
      </c>
    </row>
    <row r="28" customFormat="false" ht="15" hidden="false" customHeight="true" outlineLevel="0" collapsed="false">
      <c r="A28" s="10" t="s">
        <v>348</v>
      </c>
    </row>
    <row r="29" customFormat="false" ht="15" hidden="false" customHeight="true" outlineLevel="0" collapsed="false">
      <c r="A29" s="1" t="s">
        <v>349</v>
      </c>
      <c r="B29" s="55" t="n">
        <f aca="false">SUMIFS('Bill Ledger'!$F$5:$F$64,'Bill Ledger'!$B$5:$B$64,2026)-SUMIFS('Bill Ledger'!$F$5:$F$64,'Bill Ledger'!$B$5:$B$64,2025,'Bill Ledger'!$C$5:$C$64,"&lt;=7")</f>
        <v>73</v>
      </c>
    </row>
    <row r="30" customFormat="false" ht="15" hidden="false" customHeight="true" outlineLevel="0" collapsed="false">
      <c r="A30" s="1" t="s">
        <v>350</v>
      </c>
      <c r="B30" s="1" t="n">
        <v>212</v>
      </c>
    </row>
    <row r="31" customFormat="false" ht="15" hidden="false" customHeight="true" outlineLevel="0" collapsed="false">
      <c r="A31" s="1" t="s">
        <v>351</v>
      </c>
      <c r="B31" s="56" t="n">
        <f aca="false">B29*1000/B30</f>
        <v>344.339622641509</v>
      </c>
    </row>
    <row r="32" customFormat="false" ht="15" hidden="false" customHeight="true" outlineLevel="0" collapsed="false">
      <c r="A32" s="1" t="s">
        <v>352</v>
      </c>
      <c r="B32" s="57" t="n">
        <f aca="false">B31/1440</f>
        <v>0.239124737945493</v>
      </c>
    </row>
    <row r="33" customFormat="false" ht="15" hidden="false" customHeight="true" outlineLevel="0" collapsed="false">
      <c r="A33" s="1" t="s">
        <v>353</v>
      </c>
      <c r="B33" s="56" t="n">
        <f aca="false">B32*3785/0.05</f>
        <v>18101.7426624738</v>
      </c>
    </row>
    <row r="35" customFormat="false" ht="15" hidden="false" customHeight="true" outlineLevel="0" collapsed="false">
      <c r="A35" s="21" t="s">
        <v>354</v>
      </c>
    </row>
    <row r="36" customFormat="false" ht="15" hidden="false" customHeight="true" outlineLevel="0" collapsed="false">
      <c r="A36" s="21" t="s">
        <v>355</v>
      </c>
    </row>
    <row r="38" customFormat="false" ht="15" hidden="false" customHeight="true" outlineLevel="0" collapsed="false">
      <c r="A38" s="10" t="s">
        <v>356</v>
      </c>
    </row>
    <row r="39" customFormat="false" ht="15" hidden="false" customHeight="true" outlineLevel="0" collapsed="false">
      <c r="A39" s="10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2026-08-02T21:01:31Z</dcterms:created>
  <dc:creator>openpyxl</dc:creator>
  <dc:description/>
  <dc:language>en-US</dc:language>
  <cp:lastModifiedBy/>
  <dcterms:modified xsi:type="dcterms:W3CDTF">2026-08-04T03:16:11Z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